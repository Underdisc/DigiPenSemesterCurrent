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derdisc\home\digipen\semester\class\mat\345\assignment\4\"/>
    </mc:Choice>
  </mc:AlternateContent>
  <xr:revisionPtr revIDLastSave="0" documentId="10_ncr:100000_{84DC2134-B061-49D5-BFDC-60DABEB98FB6}" xr6:coauthVersionLast="31" xr6:coauthVersionMax="37" xr10:uidLastSave="{00000000-0000-0000-0000-000000000000}"/>
  <bookViews>
    <workbookView xWindow="1220" yWindow="360" windowWidth="19280" windowHeight="7040" xr2:uid="{00000000-000D-0000-FFFF-FFFF00000000}"/>
  </bookViews>
  <sheets>
    <sheet name="HW3 videogame data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H48" i="1" l="1"/>
  <c r="I48" i="1"/>
  <c r="J48" i="1"/>
  <c r="K48" i="1"/>
  <c r="L48" i="1"/>
  <c r="M48" i="1"/>
  <c r="N48" i="1"/>
  <c r="O48" i="1"/>
  <c r="H49" i="1"/>
  <c r="I49" i="1"/>
  <c r="J49" i="1"/>
  <c r="K49" i="1"/>
  <c r="L49" i="1"/>
  <c r="M49" i="1"/>
  <c r="N49" i="1"/>
  <c r="O49" i="1"/>
  <c r="H50" i="1"/>
  <c r="I50" i="1"/>
  <c r="J50" i="1"/>
  <c r="K50" i="1"/>
  <c r="L50" i="1"/>
  <c r="M50" i="1"/>
  <c r="N50" i="1"/>
  <c r="O50" i="1"/>
  <c r="H51" i="1"/>
  <c r="I51" i="1"/>
  <c r="J51" i="1"/>
  <c r="K51" i="1"/>
  <c r="L51" i="1"/>
  <c r="M51" i="1"/>
  <c r="N51" i="1"/>
  <c r="O51" i="1"/>
  <c r="H52" i="1"/>
  <c r="I52" i="1"/>
  <c r="J52" i="1"/>
  <c r="K52" i="1"/>
  <c r="L52" i="1"/>
  <c r="M52" i="1"/>
  <c r="N52" i="1"/>
  <c r="O52" i="1"/>
  <c r="H53" i="1"/>
  <c r="I53" i="1"/>
  <c r="J53" i="1"/>
  <c r="K53" i="1"/>
  <c r="L53" i="1"/>
  <c r="M53" i="1"/>
  <c r="N53" i="1"/>
  <c r="O53" i="1"/>
  <c r="CC9" i="1"/>
  <c r="CC8" i="1"/>
  <c r="CC7" i="1"/>
  <c r="CC6" i="1"/>
  <c r="CC5" i="1"/>
  <c r="CC4" i="1"/>
  <c r="BV9" i="1"/>
  <c r="BV8" i="1"/>
  <c r="BV7" i="1"/>
  <c r="BV6" i="1"/>
  <c r="BV5" i="1"/>
  <c r="BV4" i="1"/>
  <c r="BO9" i="1"/>
  <c r="BO8" i="1"/>
  <c r="BO7" i="1"/>
  <c r="BO6" i="1"/>
  <c r="BO5" i="1"/>
  <c r="BO4" i="1"/>
  <c r="CE9" i="1"/>
  <c r="CE8" i="1"/>
  <c r="CE7" i="1"/>
  <c r="CE6" i="1"/>
  <c r="CE5" i="1"/>
  <c r="CE4" i="1"/>
  <c r="BX9" i="1"/>
  <c r="BX8" i="1"/>
  <c r="BX7" i="1"/>
  <c r="BX6" i="1"/>
  <c r="BX5" i="1"/>
  <c r="BX4" i="1"/>
  <c r="BQ4" i="1"/>
  <c r="BQ9" i="1"/>
  <c r="BQ8" i="1"/>
  <c r="BQ7" i="1"/>
  <c r="BQ6" i="1"/>
  <c r="BQ5" i="1"/>
  <c r="Z53" i="1"/>
  <c r="Z52" i="1"/>
  <c r="Z51" i="1"/>
  <c r="Z50" i="1"/>
  <c r="Z49" i="1"/>
  <c r="Z48" i="1"/>
  <c r="Y53" i="1"/>
  <c r="Y52" i="1"/>
  <c r="Y51" i="1"/>
  <c r="Y50" i="1"/>
  <c r="Y49" i="1"/>
  <c r="Y48" i="1"/>
  <c r="X53" i="1"/>
  <c r="X52" i="1"/>
  <c r="X51" i="1"/>
  <c r="X50" i="1"/>
  <c r="X49" i="1"/>
  <c r="X48" i="1"/>
  <c r="W53" i="1"/>
  <c r="W52" i="1"/>
  <c r="W51" i="1"/>
  <c r="W50" i="1"/>
  <c r="W49" i="1"/>
  <c r="W48" i="1"/>
  <c r="V53" i="1"/>
  <c r="V52" i="1"/>
  <c r="V51" i="1"/>
  <c r="V50" i="1"/>
  <c r="V49" i="1"/>
  <c r="V48" i="1"/>
  <c r="U53" i="1"/>
  <c r="U52" i="1"/>
  <c r="U51" i="1"/>
  <c r="U50" i="1"/>
  <c r="U49" i="1"/>
  <c r="U48" i="1"/>
  <c r="T53" i="1"/>
  <c r="T52" i="1"/>
  <c r="T51" i="1"/>
  <c r="T50" i="1"/>
  <c r="T49" i="1"/>
  <c r="T48" i="1"/>
  <c r="S53" i="1"/>
  <c r="S52" i="1"/>
  <c r="S51" i="1"/>
  <c r="S50" i="1"/>
  <c r="S49" i="1"/>
  <c r="S48" i="1"/>
  <c r="BJ9" i="1"/>
  <c r="BJ8" i="1"/>
  <c r="BJ7" i="1"/>
  <c r="BJ6" i="1"/>
  <c r="BJ5" i="1"/>
  <c r="BJ4" i="1"/>
  <c r="BC9" i="1"/>
  <c r="BC8" i="1"/>
  <c r="BC7" i="1"/>
  <c r="BC6" i="1"/>
  <c r="BC5" i="1"/>
  <c r="BC4" i="1"/>
  <c r="AV9" i="1"/>
  <c r="AV8" i="1"/>
  <c r="AV7" i="1"/>
  <c r="AV6" i="1"/>
  <c r="AV5" i="1"/>
  <c r="AV4" i="1"/>
  <c r="AO9" i="1"/>
  <c r="AO8" i="1"/>
  <c r="AO7" i="1"/>
  <c r="AO6" i="1"/>
  <c r="AO5" i="1"/>
  <c r="AO4" i="1"/>
  <c r="AH9" i="1"/>
  <c r="AH8" i="1"/>
  <c r="AH7" i="1"/>
  <c r="AH6" i="1"/>
  <c r="AH5" i="1"/>
  <c r="AH4" i="1"/>
  <c r="AA9" i="1"/>
  <c r="AA8" i="1"/>
  <c r="AA7" i="1"/>
  <c r="AA6" i="1"/>
  <c r="AA5" i="1"/>
  <c r="AA4" i="1"/>
  <c r="T9" i="1"/>
  <c r="T8" i="1"/>
  <c r="T7" i="1"/>
  <c r="T6" i="1"/>
  <c r="T5" i="1"/>
  <c r="T4" i="1"/>
  <c r="M9" i="1"/>
  <c r="M8" i="1"/>
  <c r="M7" i="1"/>
  <c r="M6" i="1"/>
  <c r="M5" i="1"/>
  <c r="M4" i="1"/>
  <c r="BZ45" i="1"/>
  <c r="BZ41" i="1"/>
  <c r="BZ37" i="1"/>
  <c r="BZ33" i="1"/>
  <c r="BZ29" i="1"/>
  <c r="BZ25" i="1"/>
  <c r="BZ21" i="1"/>
  <c r="BZ17" i="1"/>
  <c r="BZ13" i="1"/>
  <c r="BZ9" i="1"/>
  <c r="BZ5" i="1"/>
  <c r="BZ39" i="1"/>
  <c r="BZ35" i="1"/>
  <c r="BZ27" i="1"/>
  <c r="BZ15" i="1"/>
  <c r="BZ7" i="1"/>
  <c r="BZ42" i="1"/>
  <c r="BZ34" i="1"/>
  <c r="BZ22" i="1"/>
  <c r="BZ14" i="1"/>
  <c r="BZ6" i="1"/>
  <c r="BZ44" i="1"/>
  <c r="BZ40" i="1"/>
  <c r="BZ36" i="1"/>
  <c r="BZ32" i="1"/>
  <c r="BZ28" i="1"/>
  <c r="BZ24" i="1"/>
  <c r="BZ20" i="1"/>
  <c r="BZ16" i="1"/>
  <c r="BZ12" i="1"/>
  <c r="BZ8" i="1"/>
  <c r="BZ43" i="1"/>
  <c r="BZ31" i="1"/>
  <c r="BZ23" i="1"/>
  <c r="BZ19" i="1"/>
  <c r="BZ11" i="1"/>
  <c r="BZ38" i="1"/>
  <c r="BZ30" i="1"/>
  <c r="BZ26" i="1"/>
  <c r="BZ18" i="1"/>
  <c r="BZ10" i="1"/>
  <c r="BZ4" i="1"/>
  <c r="BS45" i="1"/>
  <c r="BS41" i="1"/>
  <c r="BS37" i="1"/>
  <c r="BS33" i="1"/>
  <c r="BS29" i="1"/>
  <c r="BS25" i="1"/>
  <c r="BS21" i="1"/>
  <c r="BS17" i="1"/>
  <c r="BS13" i="1"/>
  <c r="BS9" i="1"/>
  <c r="BS5" i="1"/>
  <c r="BS39" i="1"/>
  <c r="BS31" i="1"/>
  <c r="BS23" i="1"/>
  <c r="BS15" i="1"/>
  <c r="BS7" i="1"/>
  <c r="BS42" i="1"/>
  <c r="BS30" i="1"/>
  <c r="BS22" i="1"/>
  <c r="BS14" i="1"/>
  <c r="BS6" i="1"/>
  <c r="BS44" i="1"/>
  <c r="BS40" i="1"/>
  <c r="BS36" i="1"/>
  <c r="BS32" i="1"/>
  <c r="BS28" i="1"/>
  <c r="BS24" i="1"/>
  <c r="BS20" i="1"/>
  <c r="BS16" i="1"/>
  <c r="BS12" i="1"/>
  <c r="BS8" i="1"/>
  <c r="BS43" i="1"/>
  <c r="BS35" i="1"/>
  <c r="BS27" i="1"/>
  <c r="BS19" i="1"/>
  <c r="BS11" i="1"/>
  <c r="BS38" i="1"/>
  <c r="BS34" i="1"/>
  <c r="BS26" i="1"/>
  <c r="BS18" i="1"/>
  <c r="BS10" i="1"/>
  <c r="BS4" i="1"/>
  <c r="BL45" i="1"/>
  <c r="BL41" i="1"/>
  <c r="BL37" i="1"/>
  <c r="BL33" i="1"/>
  <c r="BL29" i="1"/>
  <c r="BL25" i="1"/>
  <c r="BL21" i="1"/>
  <c r="BL17" i="1"/>
  <c r="BL13" i="1"/>
  <c r="BL9" i="1"/>
  <c r="BL5" i="1"/>
  <c r="BL44" i="1"/>
  <c r="BL40" i="1"/>
  <c r="BL36" i="1"/>
  <c r="BL32" i="1"/>
  <c r="BL28" i="1"/>
  <c r="BL24" i="1"/>
  <c r="BL20" i="1"/>
  <c r="BL16" i="1"/>
  <c r="BL8" i="1"/>
  <c r="BL43" i="1"/>
  <c r="BL39" i="1"/>
  <c r="BL35" i="1"/>
  <c r="BL31" i="1"/>
  <c r="BL27" i="1"/>
  <c r="BL23" i="1"/>
  <c r="BL19" i="1"/>
  <c r="BL15" i="1"/>
  <c r="BL7" i="1"/>
  <c r="BL38" i="1"/>
  <c r="BL30" i="1"/>
  <c r="BL26" i="1"/>
  <c r="BL18" i="1"/>
  <c r="BL10" i="1"/>
  <c r="BL12" i="1"/>
  <c r="BL11" i="1"/>
  <c r="BL42" i="1"/>
  <c r="BL34" i="1"/>
  <c r="BL22" i="1"/>
  <c r="BL14" i="1"/>
  <c r="BL6" i="1"/>
  <c r="BL4" i="1"/>
  <c r="BE45" i="1"/>
  <c r="BE41" i="1"/>
  <c r="BE37" i="1"/>
  <c r="BE33" i="1"/>
  <c r="BE29" i="1"/>
  <c r="BE25" i="1"/>
  <c r="BE21" i="1"/>
  <c r="BE17" i="1"/>
  <c r="BE13" i="1"/>
  <c r="BE9" i="1"/>
  <c r="BE5" i="1"/>
  <c r="BE38" i="1"/>
  <c r="BE26" i="1"/>
  <c r="BE18" i="1"/>
  <c r="BE6" i="1"/>
  <c r="BE44" i="1"/>
  <c r="BE40" i="1"/>
  <c r="BE36" i="1"/>
  <c r="BE32" i="1"/>
  <c r="BE28" i="1"/>
  <c r="BE24" i="1"/>
  <c r="BE20" i="1"/>
  <c r="BE16" i="1"/>
  <c r="BE12" i="1"/>
  <c r="BE8" i="1"/>
  <c r="BE30" i="1"/>
  <c r="BE14" i="1"/>
  <c r="BE43" i="1"/>
  <c r="BE39" i="1"/>
  <c r="BE35" i="1"/>
  <c r="BE31" i="1"/>
  <c r="BE27" i="1"/>
  <c r="BE23" i="1"/>
  <c r="BE19" i="1"/>
  <c r="BE15" i="1"/>
  <c r="BE11" i="1"/>
  <c r="BE7" i="1"/>
  <c r="BE42" i="1"/>
  <c r="BE34" i="1"/>
  <c r="BE22" i="1"/>
  <c r="BE10" i="1"/>
  <c r="BE4" i="1"/>
  <c r="AX45" i="1"/>
  <c r="AX41" i="1"/>
  <c r="AX37" i="1"/>
  <c r="AX33" i="1"/>
  <c r="AX29" i="1"/>
  <c r="AX25" i="1"/>
  <c r="AX21" i="1"/>
  <c r="AX17" i="1"/>
  <c r="AX13" i="1"/>
  <c r="AX9" i="1"/>
  <c r="AX5" i="1"/>
  <c r="AX44" i="1"/>
  <c r="AX40" i="1"/>
  <c r="AX36" i="1"/>
  <c r="AX32" i="1"/>
  <c r="AX28" i="1"/>
  <c r="AX24" i="1"/>
  <c r="AX20" i="1"/>
  <c r="AX16" i="1"/>
  <c r="AX12" i="1"/>
  <c r="AX8" i="1"/>
  <c r="AX43" i="1"/>
  <c r="AX39" i="1"/>
  <c r="AX35" i="1"/>
  <c r="AX31" i="1"/>
  <c r="AX27" i="1"/>
  <c r="AX23" i="1"/>
  <c r="AX19" i="1"/>
  <c r="AX15" i="1"/>
  <c r="AX11" i="1"/>
  <c r="AX7" i="1"/>
  <c r="AX42" i="1"/>
  <c r="AX38" i="1"/>
  <c r="AX34" i="1"/>
  <c r="AX30" i="1"/>
  <c r="AX26" i="1"/>
  <c r="AX22" i="1"/>
  <c r="AX18" i="1"/>
  <c r="AX14" i="1"/>
  <c r="AX10" i="1"/>
  <c r="AX6" i="1"/>
  <c r="AX4" i="1"/>
  <c r="AQ45" i="1"/>
  <c r="AQ41" i="1"/>
  <c r="AQ37" i="1"/>
  <c r="AQ33" i="1"/>
  <c r="AQ29" i="1"/>
  <c r="AQ25" i="1"/>
  <c r="AQ21" i="1"/>
  <c r="AQ17" i="1"/>
  <c r="AQ13" i="1"/>
  <c r="AQ9" i="1"/>
  <c r="AQ5" i="1"/>
  <c r="AQ39" i="1"/>
  <c r="AQ31" i="1"/>
  <c r="AQ23" i="1"/>
  <c r="AQ19" i="1"/>
  <c r="AQ11" i="1"/>
  <c r="AQ42" i="1"/>
  <c r="AQ30" i="1"/>
  <c r="AQ22" i="1"/>
  <c r="AQ18" i="1"/>
  <c r="AQ10" i="1"/>
  <c r="AQ44" i="1"/>
  <c r="AQ40" i="1"/>
  <c r="AQ36" i="1"/>
  <c r="AQ32" i="1"/>
  <c r="AQ28" i="1"/>
  <c r="AQ24" i="1"/>
  <c r="AQ20" i="1"/>
  <c r="AQ16" i="1"/>
  <c r="AQ12" i="1"/>
  <c r="AQ8" i="1"/>
  <c r="AQ43" i="1"/>
  <c r="AQ35" i="1"/>
  <c r="AQ27" i="1"/>
  <c r="AQ15" i="1"/>
  <c r="AQ7" i="1"/>
  <c r="AQ38" i="1"/>
  <c r="AQ34" i="1"/>
  <c r="AQ26" i="1"/>
  <c r="AQ14" i="1"/>
  <c r="AQ6" i="1"/>
  <c r="AQ4" i="1"/>
  <c r="AJ45" i="1"/>
  <c r="AJ41" i="1"/>
  <c r="AJ37" i="1"/>
  <c r="AJ33" i="1"/>
  <c r="AJ29" i="1"/>
  <c r="AJ25" i="1"/>
  <c r="AJ21" i="1"/>
  <c r="AJ17" i="1"/>
  <c r="AJ13" i="1"/>
  <c r="AJ9" i="1"/>
  <c r="AJ5" i="1"/>
  <c r="AJ39" i="1"/>
  <c r="AJ31" i="1"/>
  <c r="AJ27" i="1"/>
  <c r="AJ19" i="1"/>
  <c r="AJ7" i="1"/>
  <c r="AJ38" i="1"/>
  <c r="AJ30" i="1"/>
  <c r="AJ22" i="1"/>
  <c r="AJ14" i="1"/>
  <c r="AJ6" i="1"/>
  <c r="AJ44" i="1"/>
  <c r="AJ40" i="1"/>
  <c r="AJ36" i="1"/>
  <c r="AJ32" i="1"/>
  <c r="AJ28" i="1"/>
  <c r="AJ24" i="1"/>
  <c r="AJ20" i="1"/>
  <c r="AJ16" i="1"/>
  <c r="AJ12" i="1"/>
  <c r="AJ8" i="1"/>
  <c r="AJ43" i="1"/>
  <c r="AJ35" i="1"/>
  <c r="AJ23" i="1"/>
  <c r="AJ15" i="1"/>
  <c r="AJ11" i="1"/>
  <c r="AJ42" i="1"/>
  <c r="AJ34" i="1"/>
  <c r="AJ26" i="1"/>
  <c r="AJ18" i="1"/>
  <c r="AJ10" i="1"/>
  <c r="AJ4" i="1"/>
  <c r="AC45" i="1"/>
  <c r="AC41" i="1"/>
  <c r="AC37" i="1"/>
  <c r="AC33" i="1"/>
  <c r="AC29" i="1"/>
  <c r="AC25" i="1"/>
  <c r="AC21" i="1"/>
  <c r="AC17" i="1"/>
  <c r="AC13" i="1"/>
  <c r="AC9" i="1"/>
  <c r="AC5" i="1"/>
  <c r="AC35" i="1"/>
  <c r="AC31" i="1"/>
  <c r="AC23" i="1"/>
  <c r="AC11" i="1"/>
  <c r="AC42" i="1"/>
  <c r="AC34" i="1"/>
  <c r="AC26" i="1"/>
  <c r="AC18" i="1"/>
  <c r="AC10" i="1"/>
  <c r="AC44" i="1"/>
  <c r="AC40" i="1"/>
  <c r="AC36" i="1"/>
  <c r="AC32" i="1"/>
  <c r="AC28" i="1"/>
  <c r="AC24" i="1"/>
  <c r="AC20" i="1"/>
  <c r="AC16" i="1"/>
  <c r="AC12" i="1"/>
  <c r="AC8" i="1"/>
  <c r="AC39" i="1"/>
  <c r="AC27" i="1"/>
  <c r="AC19" i="1"/>
  <c r="AC15" i="1"/>
  <c r="AC7" i="1"/>
  <c r="AC38" i="1"/>
  <c r="AC30" i="1"/>
  <c r="AC22" i="1"/>
  <c r="AC14" i="1"/>
  <c r="AC6" i="1"/>
  <c r="AC43" i="1"/>
  <c r="AC4" i="1"/>
  <c r="V44" i="1"/>
  <c r="V40" i="1"/>
  <c r="V36" i="1"/>
  <c r="V32" i="1"/>
  <c r="V28" i="1"/>
  <c r="V24" i="1"/>
  <c r="V20" i="1"/>
  <c r="V16" i="1"/>
  <c r="V12" i="1"/>
  <c r="V8" i="1"/>
  <c r="V38" i="1"/>
  <c r="V30" i="1"/>
  <c r="V22" i="1"/>
  <c r="V14" i="1"/>
  <c r="V6" i="1"/>
  <c r="V41" i="1"/>
  <c r="V33" i="1"/>
  <c r="V29" i="1"/>
  <c r="V21" i="1"/>
  <c r="V13" i="1"/>
  <c r="V5" i="1"/>
  <c r="V43" i="1"/>
  <c r="V39" i="1"/>
  <c r="V35" i="1"/>
  <c r="V31" i="1"/>
  <c r="V27" i="1"/>
  <c r="V23" i="1"/>
  <c r="V19" i="1"/>
  <c r="V15" i="1"/>
  <c r="V11" i="1"/>
  <c r="V7" i="1"/>
  <c r="V42" i="1"/>
  <c r="V34" i="1"/>
  <c r="V26" i="1"/>
  <c r="V18" i="1"/>
  <c r="V10" i="1"/>
  <c r="V45" i="1"/>
  <c r="V37" i="1"/>
  <c r="V25" i="1"/>
  <c r="V17" i="1"/>
  <c r="V9" i="1"/>
  <c r="V4" i="1"/>
  <c r="O45" i="1"/>
  <c r="O41" i="1"/>
  <c r="O37" i="1"/>
  <c r="O33" i="1"/>
  <c r="O29" i="1"/>
  <c r="O25" i="1"/>
  <c r="O21" i="1"/>
  <c r="O17" i="1"/>
  <c r="O13" i="1"/>
  <c r="O9" i="1"/>
  <c r="O5" i="1"/>
  <c r="O38" i="1"/>
  <c r="O26" i="1"/>
  <c r="O14" i="1"/>
  <c r="O44" i="1"/>
  <c r="O40" i="1"/>
  <c r="O36" i="1"/>
  <c r="O32" i="1"/>
  <c r="O28" i="1"/>
  <c r="O24" i="1"/>
  <c r="O20" i="1"/>
  <c r="O16" i="1"/>
  <c r="O12" i="1"/>
  <c r="O8" i="1"/>
  <c r="O34" i="1"/>
  <c r="O22" i="1"/>
  <c r="O10" i="1"/>
  <c r="O43" i="1"/>
  <c r="O39" i="1"/>
  <c r="O35" i="1"/>
  <c r="O31" i="1"/>
  <c r="O27" i="1"/>
  <c r="O23" i="1"/>
  <c r="O19" i="1"/>
  <c r="O15" i="1"/>
  <c r="O11" i="1"/>
  <c r="O7" i="1"/>
  <c r="O42" i="1"/>
  <c r="O30" i="1"/>
  <c r="O18" i="1"/>
  <c r="O6" i="1"/>
  <c r="O4" i="1"/>
  <c r="CA8" i="1" l="1"/>
  <c r="CB8" i="1" s="1"/>
  <c r="CA4" i="1"/>
  <c r="CB4" i="1" s="1"/>
  <c r="CA6" i="1"/>
  <c r="CB6" i="1" s="1"/>
  <c r="CA5" i="1"/>
  <c r="CB5" i="1" s="1"/>
  <c r="CA7" i="1"/>
  <c r="CB7" i="1" s="1"/>
  <c r="CA9" i="1"/>
  <c r="CB9" i="1" s="1"/>
  <c r="BT8" i="1"/>
  <c r="BU8" i="1" s="1"/>
  <c r="BT4" i="1"/>
  <c r="BU4" i="1" s="1"/>
  <c r="BT9" i="1"/>
  <c r="BU9" i="1" s="1"/>
  <c r="BT7" i="1"/>
  <c r="BU7" i="1" s="1"/>
  <c r="BT6" i="1"/>
  <c r="BU6" i="1" s="1"/>
  <c r="BT5" i="1"/>
  <c r="BU5" i="1" s="1"/>
  <c r="BM6" i="1"/>
  <c r="BN6" i="1" s="1"/>
  <c r="BM8" i="1"/>
  <c r="BN8" i="1" s="1"/>
  <c r="BM4" i="1"/>
  <c r="BN4" i="1" s="1"/>
  <c r="BM7" i="1"/>
  <c r="BN7" i="1" s="1"/>
  <c r="BM9" i="1"/>
  <c r="BN9" i="1" s="1"/>
  <c r="BM5" i="1"/>
  <c r="BN5" i="1" s="1"/>
  <c r="BF8" i="1"/>
  <c r="BG8" i="1" s="1"/>
  <c r="BH8" i="1" s="1"/>
  <c r="BF4" i="1"/>
  <c r="BG4" i="1" s="1"/>
  <c r="BH4" i="1" s="1"/>
  <c r="BF5" i="1"/>
  <c r="BG5" i="1" s="1"/>
  <c r="BH5" i="1" s="1"/>
  <c r="BF7" i="1"/>
  <c r="BG7" i="1" s="1"/>
  <c r="BH7" i="1" s="1"/>
  <c r="BF6" i="1"/>
  <c r="BG6" i="1" s="1"/>
  <c r="BH6" i="1" s="1"/>
  <c r="BF9" i="1"/>
  <c r="BG9" i="1" s="1"/>
  <c r="BH9" i="1" s="1"/>
  <c r="AY8" i="1"/>
  <c r="AZ8" i="1" s="1"/>
  <c r="BA8" i="1" s="1"/>
  <c r="AY4" i="1"/>
  <c r="AZ4" i="1" s="1"/>
  <c r="BA4" i="1" s="1"/>
  <c r="AY6" i="1"/>
  <c r="AZ6" i="1" s="1"/>
  <c r="BA6" i="1" s="1"/>
  <c r="AY5" i="1"/>
  <c r="AZ5" i="1" s="1"/>
  <c r="BA5" i="1" s="1"/>
  <c r="AY7" i="1"/>
  <c r="AZ7" i="1" s="1"/>
  <c r="BA7" i="1" s="1"/>
  <c r="AY9" i="1"/>
  <c r="AZ9" i="1" s="1"/>
  <c r="BA9" i="1" s="1"/>
  <c r="AR8" i="1"/>
  <c r="AS8" i="1" s="1"/>
  <c r="AT8" i="1" s="1"/>
  <c r="AR4" i="1"/>
  <c r="AS4" i="1" s="1"/>
  <c r="AT4" i="1" s="1"/>
  <c r="AR7" i="1"/>
  <c r="AS7" i="1" s="1"/>
  <c r="AT7" i="1" s="1"/>
  <c r="AR6" i="1"/>
  <c r="AS6" i="1" s="1"/>
  <c r="AT6" i="1" s="1"/>
  <c r="AR9" i="1"/>
  <c r="AR5" i="1"/>
  <c r="AS5" i="1" s="1"/>
  <c r="AT5" i="1" s="1"/>
  <c r="AK8" i="1"/>
  <c r="AL8" i="1" s="1"/>
  <c r="AM8" i="1" s="1"/>
  <c r="AK4" i="1"/>
  <c r="AL4" i="1" s="1"/>
  <c r="AM4" i="1" s="1"/>
  <c r="AK6" i="1"/>
  <c r="AL6" i="1" s="1"/>
  <c r="AM6" i="1" s="1"/>
  <c r="AK9" i="1"/>
  <c r="AL9" i="1" s="1"/>
  <c r="AM9" i="1" s="1"/>
  <c r="AK7" i="1"/>
  <c r="AL7" i="1" s="1"/>
  <c r="AM7" i="1" s="1"/>
  <c r="AK5" i="1"/>
  <c r="AL5" i="1" s="1"/>
  <c r="AM5" i="1" s="1"/>
  <c r="AD8" i="1"/>
  <c r="AE8" i="1" s="1"/>
  <c r="AF8" i="1" s="1"/>
  <c r="AD4" i="1"/>
  <c r="AE4" i="1" s="1"/>
  <c r="AF4" i="1" s="1"/>
  <c r="AD7" i="1"/>
  <c r="AE7" i="1" s="1"/>
  <c r="AF7" i="1" s="1"/>
  <c r="AD9" i="1"/>
  <c r="AE9" i="1" s="1"/>
  <c r="AF9" i="1" s="1"/>
  <c r="AD6" i="1"/>
  <c r="AE6" i="1" s="1"/>
  <c r="AF6" i="1" s="1"/>
  <c r="AD5" i="1"/>
  <c r="AE5" i="1" s="1"/>
  <c r="AF5" i="1" s="1"/>
  <c r="W8" i="1"/>
  <c r="X8" i="1" s="1"/>
  <c r="Y8" i="1" s="1"/>
  <c r="W4" i="1"/>
  <c r="X4" i="1" s="1"/>
  <c r="Y4" i="1" s="1"/>
  <c r="W6" i="1"/>
  <c r="X6" i="1" s="1"/>
  <c r="Y6" i="1" s="1"/>
  <c r="W7" i="1"/>
  <c r="X7" i="1" s="1"/>
  <c r="Y7" i="1" s="1"/>
  <c r="W9" i="1"/>
  <c r="X9" i="1" s="1"/>
  <c r="Y9" i="1" s="1"/>
  <c r="W5" i="1"/>
  <c r="X5" i="1" s="1"/>
  <c r="Y5" i="1" s="1"/>
  <c r="P9" i="1"/>
  <c r="Q9" i="1" s="1"/>
  <c r="R9" i="1" s="1"/>
  <c r="P8" i="1"/>
  <c r="Q8" i="1" s="1"/>
  <c r="R8" i="1" s="1"/>
  <c r="P7" i="1"/>
  <c r="Q7" i="1" s="1"/>
  <c r="R7" i="1" s="1"/>
  <c r="P6" i="1"/>
  <c r="Q6" i="1" s="1"/>
  <c r="R6" i="1" s="1"/>
  <c r="P5" i="1"/>
  <c r="Q5" i="1" s="1"/>
  <c r="R5" i="1" s="1"/>
  <c r="P4" i="1"/>
  <c r="Q4" i="1" s="1"/>
  <c r="R4" i="1" s="1"/>
  <c r="H45" i="1"/>
  <c r="H41" i="1"/>
  <c r="H37" i="1"/>
  <c r="H33" i="1"/>
  <c r="H29" i="1"/>
  <c r="H25" i="1"/>
  <c r="H21" i="1"/>
  <c r="H17" i="1"/>
  <c r="H13" i="1"/>
  <c r="H9" i="1"/>
  <c r="H5" i="1"/>
  <c r="H32" i="1"/>
  <c r="H24" i="1"/>
  <c r="H12" i="1"/>
  <c r="H43" i="1"/>
  <c r="H35" i="1"/>
  <c r="H27" i="1"/>
  <c r="H19" i="1"/>
  <c r="H11" i="1"/>
  <c r="H42" i="1"/>
  <c r="H34" i="1"/>
  <c r="H26" i="1"/>
  <c r="H18" i="1"/>
  <c r="H10" i="1"/>
  <c r="H44" i="1"/>
  <c r="H40" i="1"/>
  <c r="H36" i="1"/>
  <c r="H28" i="1"/>
  <c r="H20" i="1"/>
  <c r="H16" i="1"/>
  <c r="H8" i="1"/>
  <c r="H39" i="1"/>
  <c r="H31" i="1"/>
  <c r="H23" i="1"/>
  <c r="H15" i="1"/>
  <c r="H7" i="1"/>
  <c r="H38" i="1"/>
  <c r="H30" i="1"/>
  <c r="H22" i="1"/>
  <c r="H14" i="1"/>
  <c r="H6" i="1"/>
  <c r="H4" i="1"/>
  <c r="I7" i="1" l="1"/>
  <c r="J7" i="1" s="1"/>
  <c r="I6" i="1"/>
  <c r="J6" i="1" s="1"/>
  <c r="K6" i="1" s="1"/>
  <c r="I5" i="1"/>
  <c r="J5" i="1" s="1"/>
  <c r="I8" i="1"/>
  <c r="J8" i="1" s="1"/>
  <c r="K8" i="1" s="1"/>
  <c r="I4" i="1"/>
  <c r="J4" i="1" s="1"/>
  <c r="I9" i="1"/>
  <c r="J9" i="1" s="1"/>
  <c r="K9" i="1" s="1"/>
  <c r="K7" i="1"/>
  <c r="K5" i="1"/>
  <c r="K4" i="1"/>
</calcChain>
</file>

<file path=xl/sharedStrings.xml><?xml version="1.0" encoding="utf-8"?>
<sst xmlns="http://schemas.openxmlformats.org/spreadsheetml/2006/main" count="197" uniqueCount="32">
  <si>
    <t>T</t>
  </si>
  <si>
    <t>E</t>
  </si>
  <si>
    <t>E10+</t>
  </si>
  <si>
    <t>M</t>
  </si>
  <si>
    <t>Year_of_Release</t>
  </si>
  <si>
    <t>Critic_Score</t>
  </si>
  <si>
    <t>User_Score</t>
  </si>
  <si>
    <t>Rating</t>
  </si>
  <si>
    <t>MAT 345 - HW 4 data</t>
  </si>
  <si>
    <t>Number</t>
  </si>
  <si>
    <t>Testing Data</t>
  </si>
  <si>
    <t>Training Data</t>
  </si>
  <si>
    <t>Unclassified Data</t>
  </si>
  <si>
    <t>Test Vector 1</t>
  </si>
  <si>
    <t>Test Vector 2</t>
  </si>
  <si>
    <t>Test Vector 3</t>
  </si>
  <si>
    <t>Test Vector 4</t>
  </si>
  <si>
    <t>Test Vector 5</t>
  </si>
  <si>
    <t>Test Vector 6</t>
  </si>
  <si>
    <t>Test Vector 7</t>
  </si>
  <si>
    <t>Test Vector 8</t>
  </si>
  <si>
    <t>Distances</t>
  </si>
  <si>
    <t>6 Closest</t>
  </si>
  <si>
    <t>Prediction</t>
  </si>
  <si>
    <t>Correct</t>
  </si>
  <si>
    <t>Prediction for data N</t>
  </si>
  <si>
    <t>K</t>
  </si>
  <si>
    <t>Correct for Data N</t>
  </si>
  <si>
    <t xml:space="preserve">Correct </t>
  </si>
  <si>
    <t>II</t>
  </si>
  <si>
    <t>I</t>
  </si>
  <si>
    <t>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</si>
</sst>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NumberFormat="1" applyBorder="1"/>
    <xf numFmtId="0" fontId="0" fillId="0" borderId="22" xfId="0" applyBorder="1"/>
    <xf numFmtId="0" fontId="0" fillId="0" borderId="23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E61"/>
  <sheetViews>
    <sheetView tabSelected="1" topLeftCell="E40" workbookViewId="0">
      <selection activeCell="Q55" sqref="Q55:S61"/>
    </sheetView>
  </sheetViews>
  <sheetFormatPr defaultRowHeight="14.5" x14ac:dyDescent="0.35"/>
  <cols>
    <col min="1" max="1" width="18.1796875" customWidth="1"/>
    <col min="2" max="2" width="17.6328125" customWidth="1"/>
    <col min="3" max="3" width="14.81640625" customWidth="1"/>
    <col min="4" max="4" width="13.6328125" customWidth="1"/>
    <col min="5" max="5" width="15" customWidth="1"/>
    <col min="6" max="6" width="4.81640625" customWidth="1"/>
    <col min="7" max="7" width="3.6328125" customWidth="1"/>
    <col min="8" max="9" width="5.26953125" customWidth="1"/>
    <col min="10" max="10" width="4.6328125" customWidth="1"/>
    <col min="11" max="11" width="4.36328125" customWidth="1"/>
    <col min="12" max="12" width="4.26953125" customWidth="1"/>
    <col min="13" max="13" width="3.90625" customWidth="1"/>
    <col min="14" max="14" width="3.81640625" customWidth="1"/>
    <col min="15" max="15" width="3.54296875" customWidth="1"/>
    <col min="16" max="16" width="8" customWidth="1"/>
    <col min="17" max="17" width="4.7265625" customWidth="1"/>
    <col min="18" max="18" width="3.54296875" customWidth="1"/>
    <col min="19" max="19" width="7.6328125" customWidth="1"/>
    <col min="20" max="20" width="3.81640625" customWidth="1"/>
    <col min="21" max="21" width="4.08984375" customWidth="1"/>
    <col min="22" max="22" width="4.36328125" customWidth="1"/>
    <col min="23" max="24" width="4.453125" customWidth="1"/>
    <col min="25" max="25" width="4.54296875" customWidth="1"/>
    <col min="26" max="26" width="4.6328125" customWidth="1"/>
  </cols>
  <sheetData>
    <row r="1" spans="1:83" x14ac:dyDescent="0.35">
      <c r="A1" t="s">
        <v>8</v>
      </c>
    </row>
    <row r="2" spans="1:83" x14ac:dyDescent="0.35">
      <c r="B2" s="2" t="s">
        <v>11</v>
      </c>
      <c r="C2" s="2"/>
      <c r="D2" s="2"/>
      <c r="E2" s="2"/>
      <c r="F2" s="1"/>
      <c r="H2" s="2" t="s">
        <v>13</v>
      </c>
      <c r="I2" s="2"/>
      <c r="J2" s="2"/>
      <c r="K2" s="2"/>
      <c r="L2" s="2"/>
      <c r="M2" s="2"/>
      <c r="O2" s="2" t="s">
        <v>14</v>
      </c>
      <c r="P2" s="2"/>
      <c r="Q2" s="2"/>
      <c r="R2" s="2"/>
      <c r="S2" s="2"/>
      <c r="T2" s="2"/>
      <c r="V2" s="2" t="s">
        <v>15</v>
      </c>
      <c r="W2" s="2"/>
      <c r="X2" s="2"/>
      <c r="Y2" s="2"/>
      <c r="Z2" s="2"/>
      <c r="AA2" s="2"/>
      <c r="AC2" s="2" t="s">
        <v>16</v>
      </c>
      <c r="AD2" s="2"/>
      <c r="AE2" s="2"/>
      <c r="AF2" s="2"/>
      <c r="AG2" s="2"/>
      <c r="AH2" s="2"/>
      <c r="AJ2" s="2" t="s">
        <v>17</v>
      </c>
      <c r="AK2" s="2"/>
      <c r="AL2" s="2"/>
      <c r="AM2" s="2"/>
      <c r="AN2" s="2"/>
      <c r="AO2" s="2"/>
      <c r="AQ2" s="2" t="s">
        <v>18</v>
      </c>
      <c r="AR2" s="2"/>
      <c r="AS2" s="2"/>
      <c r="AT2" s="2"/>
      <c r="AU2" s="2"/>
      <c r="AV2" s="2"/>
      <c r="AX2" s="2" t="s">
        <v>19</v>
      </c>
      <c r="AY2" s="2"/>
      <c r="AZ2" s="2"/>
      <c r="BA2" s="2"/>
      <c r="BB2" s="2"/>
      <c r="BC2" s="2"/>
      <c r="BE2" s="2" t="s">
        <v>20</v>
      </c>
      <c r="BF2" s="2"/>
      <c r="BG2" s="2"/>
      <c r="BH2" s="2"/>
      <c r="BI2" s="2"/>
      <c r="BJ2" s="2"/>
      <c r="BL2" s="2" t="s">
        <v>13</v>
      </c>
      <c r="BM2" s="2"/>
      <c r="BN2" s="2"/>
      <c r="BO2" s="2"/>
      <c r="BP2" s="2"/>
      <c r="BQ2" s="2"/>
      <c r="BS2" s="2" t="s">
        <v>13</v>
      </c>
      <c r="BT2" s="2"/>
      <c r="BU2" s="2"/>
      <c r="BV2" s="2"/>
      <c r="BW2" s="2"/>
      <c r="BX2" s="2"/>
      <c r="BZ2" s="2" t="s">
        <v>13</v>
      </c>
      <c r="CA2" s="2"/>
      <c r="CB2" s="2"/>
      <c r="CC2" s="2"/>
      <c r="CD2" s="2"/>
      <c r="CE2" s="2"/>
    </row>
    <row r="3" spans="1:83" x14ac:dyDescent="0.35">
      <c r="A3" t="s">
        <v>9</v>
      </c>
      <c r="B3" t="s">
        <v>4</v>
      </c>
      <c r="C3" t="s">
        <v>5</v>
      </c>
      <c r="D3" t="s">
        <v>6</v>
      </c>
      <c r="E3" t="s">
        <v>7</v>
      </c>
      <c r="H3" s="3" t="s">
        <v>21</v>
      </c>
      <c r="I3" s="3" t="s">
        <v>22</v>
      </c>
      <c r="J3" s="3" t="s">
        <v>9</v>
      </c>
      <c r="K3" s="3" t="s">
        <v>7</v>
      </c>
      <c r="L3" s="3" t="s">
        <v>23</v>
      </c>
      <c r="M3" s="3" t="s">
        <v>24</v>
      </c>
      <c r="N3" s="3"/>
      <c r="O3" s="3" t="s">
        <v>21</v>
      </c>
      <c r="P3" s="3" t="s">
        <v>22</v>
      </c>
      <c r="Q3" s="3" t="s">
        <v>9</v>
      </c>
      <c r="R3" s="3" t="s">
        <v>7</v>
      </c>
      <c r="S3" s="3" t="s">
        <v>23</v>
      </c>
      <c r="T3" s="3" t="s">
        <v>24</v>
      </c>
      <c r="U3" s="3"/>
      <c r="V3" s="3" t="s">
        <v>21</v>
      </c>
      <c r="W3" s="3" t="s">
        <v>22</v>
      </c>
      <c r="X3" s="3" t="s">
        <v>9</v>
      </c>
      <c r="Y3" s="3" t="s">
        <v>7</v>
      </c>
      <c r="Z3" s="3" t="s">
        <v>23</v>
      </c>
      <c r="AA3" s="3" t="s">
        <v>24</v>
      </c>
      <c r="AB3" s="3"/>
      <c r="AC3" s="3" t="s">
        <v>21</v>
      </c>
      <c r="AD3" s="3" t="s">
        <v>22</v>
      </c>
      <c r="AE3" s="3" t="s">
        <v>9</v>
      </c>
      <c r="AF3" s="3" t="s">
        <v>7</v>
      </c>
      <c r="AG3" s="3" t="s">
        <v>23</v>
      </c>
      <c r="AH3" s="3" t="s">
        <v>24</v>
      </c>
      <c r="AI3" s="3"/>
      <c r="AJ3" s="3" t="s">
        <v>21</v>
      </c>
      <c r="AK3" s="3" t="s">
        <v>22</v>
      </c>
      <c r="AL3" s="3" t="s">
        <v>9</v>
      </c>
      <c r="AM3" s="3" t="s">
        <v>7</v>
      </c>
      <c r="AN3" s="3" t="s">
        <v>23</v>
      </c>
      <c r="AO3" s="3" t="s">
        <v>24</v>
      </c>
      <c r="AQ3" s="3" t="s">
        <v>21</v>
      </c>
      <c r="AR3" s="3" t="s">
        <v>22</v>
      </c>
      <c r="AS3" s="3" t="s">
        <v>9</v>
      </c>
      <c r="AT3" s="3" t="s">
        <v>7</v>
      </c>
      <c r="AU3" s="3" t="s">
        <v>23</v>
      </c>
      <c r="AV3" s="3" t="s">
        <v>24</v>
      </c>
      <c r="AX3" s="3" t="s">
        <v>21</v>
      </c>
      <c r="AY3" s="3" t="s">
        <v>22</v>
      </c>
      <c r="AZ3" s="3" t="s">
        <v>9</v>
      </c>
      <c r="BA3" s="3" t="s">
        <v>7</v>
      </c>
      <c r="BB3" s="3" t="s">
        <v>23</v>
      </c>
      <c r="BC3" s="3" t="s">
        <v>24</v>
      </c>
      <c r="BE3" s="3" t="s">
        <v>21</v>
      </c>
      <c r="BF3" s="3" t="s">
        <v>22</v>
      </c>
      <c r="BG3" s="3" t="s">
        <v>9</v>
      </c>
      <c r="BH3" s="3" t="s">
        <v>7</v>
      </c>
      <c r="BI3" s="3" t="s">
        <v>23</v>
      </c>
      <c r="BJ3" s="3" t="s">
        <v>24</v>
      </c>
      <c r="BL3" s="3" t="s">
        <v>21</v>
      </c>
      <c r="BM3" s="3" t="s">
        <v>22</v>
      </c>
      <c r="BN3" s="3" t="s">
        <v>9</v>
      </c>
      <c r="BO3" s="3" t="s">
        <v>7</v>
      </c>
      <c r="BP3" s="3" t="s">
        <v>23</v>
      </c>
      <c r="BQ3" s="3" t="s">
        <v>24</v>
      </c>
      <c r="BS3" s="3" t="s">
        <v>21</v>
      </c>
      <c r="BT3" s="3" t="s">
        <v>22</v>
      </c>
      <c r="BU3" s="3" t="s">
        <v>9</v>
      </c>
      <c r="BV3" s="3" t="s">
        <v>7</v>
      </c>
      <c r="BW3" s="3" t="s">
        <v>23</v>
      </c>
      <c r="BX3" s="3" t="s">
        <v>24</v>
      </c>
      <c r="BZ3" s="3" t="s">
        <v>21</v>
      </c>
      <c r="CA3" s="3" t="s">
        <v>22</v>
      </c>
      <c r="CB3" s="3" t="s">
        <v>9</v>
      </c>
      <c r="CC3" s="3" t="s">
        <v>7</v>
      </c>
      <c r="CD3" s="3" t="s">
        <v>23</v>
      </c>
      <c r="CE3" s="3" t="s">
        <v>24</v>
      </c>
    </row>
    <row r="4" spans="1:83" x14ac:dyDescent="0.35">
      <c r="A4">
        <v>1</v>
      </c>
      <c r="B4">
        <v>2008</v>
      </c>
      <c r="C4">
        <v>85</v>
      </c>
      <c r="D4">
        <v>6.6</v>
      </c>
      <c r="E4" t="s">
        <v>0</v>
      </c>
      <c r="H4">
        <f>FindDistance($B4:$D4, $B$48:$D$48)</f>
        <v>29.00844704564517</v>
      </c>
      <c r="I4">
        <f>SMALL(H$4:H$45, 1)</f>
        <v>1.5999999999999996</v>
      </c>
      <c r="J4">
        <f>MATCH(I4, H$4:H$42,  0)</f>
        <v>4</v>
      </c>
      <c r="K4" t="str">
        <f>INDEX($B$4:$E$42, J4, 4)</f>
        <v>E10+</v>
      </c>
      <c r="L4" t="s">
        <v>2</v>
      </c>
      <c r="M4">
        <f>IF(L4 = $E$48, 1, 0)</f>
        <v>1</v>
      </c>
      <c r="O4">
        <f>FindDistance($B4:$D4, $B$49:$D$49)</f>
        <v>8.1123362849428275</v>
      </c>
      <c r="P4">
        <f>SMALL(O$4:O$45, 1)</f>
        <v>2.0880613017821097</v>
      </c>
      <c r="Q4">
        <f>MATCH(P4, O$4:O$42,  0)</f>
        <v>7</v>
      </c>
      <c r="R4" t="str">
        <f>INDEX($B$4:$E$42, Q4, 4)</f>
        <v>M</v>
      </c>
      <c r="S4" t="s">
        <v>3</v>
      </c>
      <c r="T4">
        <f>IF(S4 = $E$49, 1, 0)</f>
        <v>1</v>
      </c>
      <c r="V4">
        <f>FindDistance($B4:$D4, $B$50:$D$50)</f>
        <v>42.059481689626182</v>
      </c>
      <c r="W4">
        <f>SMALL(V$4:V$45, 1)</f>
        <v>3.2388269481403293</v>
      </c>
      <c r="X4">
        <f>MATCH(W4, V$4:V$42,  0)</f>
        <v>28</v>
      </c>
      <c r="Y4" t="str">
        <f>INDEX($B$4:$E$42, X4, 4)</f>
        <v>M</v>
      </c>
      <c r="Z4" t="s">
        <v>3</v>
      </c>
      <c r="AA4">
        <f>IF(Z4 = $E$50, 1, 0)</f>
        <v>0</v>
      </c>
      <c r="AC4">
        <f>FindDistance($B4:$D4, $B$51:$D$51)</f>
        <v>36.126998214631676</v>
      </c>
      <c r="AD4">
        <f>SMALL(AC$4:AC$45, 1)</f>
        <v>0.29999999999999982</v>
      </c>
      <c r="AE4">
        <f>MATCH(AD4, AC$4:AC$42,  0)</f>
        <v>21</v>
      </c>
      <c r="AF4" t="str">
        <f>INDEX($B$4:$E$42, AE4, 4)</f>
        <v>M</v>
      </c>
      <c r="AG4" t="s">
        <v>3</v>
      </c>
      <c r="AH4">
        <f>IF(AG4 = $E$51, 1, 0)</f>
        <v>1</v>
      </c>
      <c r="AJ4">
        <f>FindDistance($B4:$D4, $B$52:$D$52)</f>
        <v>48.139484833138795</v>
      </c>
      <c r="AK4">
        <f>SMALL(AJ$4:AJ$45, 1)</f>
        <v>4.6432747064975599</v>
      </c>
      <c r="AL4">
        <f>MATCH(AK4, AJ$4:AJ$42,  0)</f>
        <v>33</v>
      </c>
      <c r="AM4" t="str">
        <f>INDEX($B$4:$E$42, AL4, 4)</f>
        <v>T</v>
      </c>
      <c r="AN4" t="s">
        <v>0</v>
      </c>
      <c r="AO4">
        <f>IF(AN4 = $E$52, 1, 0)</f>
        <v>1</v>
      </c>
      <c r="AQ4">
        <f>FindDistance($B4:$D4, $B$53:$D$53)</f>
        <v>12.6554336156451</v>
      </c>
      <c r="AR4">
        <f>SMALL(AQ$4:AQ$45, 1)</f>
        <v>1.7320508075688772</v>
      </c>
      <c r="AS4">
        <f>MATCH(AR4, AQ$4:AQ$42,  0)</f>
        <v>31</v>
      </c>
      <c r="AT4" t="str">
        <f>INDEX($B$4:$E$42, AS4, 4)</f>
        <v>T</v>
      </c>
      <c r="AU4" t="s">
        <v>0</v>
      </c>
      <c r="AV4">
        <f>IF(AU4 = $E$53, 1, 0)</f>
        <v>0</v>
      </c>
      <c r="AX4">
        <f>FindDistance($B4:$D4, $B$54:$D$54)</f>
        <v>45.283992756823018</v>
      </c>
      <c r="AY4">
        <f>SMALL(AX$4:AX$45, 1)</f>
        <v>2.0615528128088303</v>
      </c>
      <c r="AZ4">
        <f>MATCH(AY4, AX$4:AX$42,  0)</f>
        <v>28</v>
      </c>
      <c r="BA4" t="str">
        <f>INDEX($B$4:$E$42, AZ4, 4)</f>
        <v>M</v>
      </c>
      <c r="BB4" t="s">
        <v>3</v>
      </c>
      <c r="BC4">
        <f>IF(BB4 = $E$54, 1, 0)</f>
        <v>1</v>
      </c>
      <c r="BE4">
        <f>FindDistance($B4:$D4, $B$55:$D$55)</f>
        <v>8.2194890352138064</v>
      </c>
      <c r="BF4">
        <f>SMALL(BE$4:BE$45, 1)</f>
        <v>5.3851648071345037</v>
      </c>
      <c r="BG4">
        <f>MATCH(BF4, BE$4:BE$42,  0)</f>
        <v>38</v>
      </c>
      <c r="BH4" t="str">
        <f>INDEX($B$4:$E$42, BG4, 4)</f>
        <v>E</v>
      </c>
      <c r="BI4" t="s">
        <v>1</v>
      </c>
      <c r="BJ4">
        <f>IF(BI4 = $E$55, 1, 0)</f>
        <v>1</v>
      </c>
      <c r="BL4">
        <f>FindDistance($B4:$D4, $B$58:$D$58)</f>
        <v>1.8867962264113205</v>
      </c>
      <c r="BM4">
        <f>SMALL(BL$4:BL$45, 1)</f>
        <v>1.8867962264113205</v>
      </c>
      <c r="BN4">
        <f>MATCH(BM4, BL$4:BL$42,  0)</f>
        <v>1</v>
      </c>
      <c r="BO4" t="str">
        <f>INDEX($B$4:$E$42, BN4, 4)</f>
        <v>T</v>
      </c>
      <c r="BP4" t="s">
        <v>2</v>
      </c>
      <c r="BQ4">
        <f>IF(BP4 = $E$58, 1, 0)</f>
        <v>0</v>
      </c>
      <c r="BS4">
        <f>FindDistance($B4:$D4, $B$59:$D$59)</f>
        <v>29.461160873258201</v>
      </c>
      <c r="BT4">
        <f>SMALL(BS$4:BS$45, 1)</f>
        <v>1.4866068747318502</v>
      </c>
      <c r="BU4">
        <f>MATCH(BT4, BS$4:BS$42,  0)</f>
        <v>24</v>
      </c>
      <c r="BV4" t="str">
        <f>INDEX($B$4:$E$42, BU4, 4)</f>
        <v>M</v>
      </c>
      <c r="BW4" t="s">
        <v>2</v>
      </c>
      <c r="BX4">
        <f>IF(BW4 = $E$58, 1, 0)</f>
        <v>0</v>
      </c>
      <c r="BZ4">
        <f>FindDistance($B4:$D4, $B$60:$D$60)</f>
        <v>67.477477724052491</v>
      </c>
      <c r="CA4">
        <f>SMALL(BZ$4:BZ$45, 1)</f>
        <v>8.2758685344802334</v>
      </c>
      <c r="CB4">
        <f>MATCH(CA4, BZ$4:BZ$42,  0)</f>
        <v>29</v>
      </c>
      <c r="CC4" t="str">
        <f>INDEX($B$4:$E$42, CB4, 4)</f>
        <v>M</v>
      </c>
      <c r="CD4" t="s">
        <v>2</v>
      </c>
      <c r="CE4">
        <f>IF(CD4 = $E$58, 1, 0)</f>
        <v>0</v>
      </c>
    </row>
    <row r="5" spans="1:83" x14ac:dyDescent="0.35">
      <c r="A5">
        <v>2</v>
      </c>
      <c r="B5">
        <v>2008</v>
      </c>
      <c r="C5">
        <v>87</v>
      </c>
      <c r="D5">
        <v>4.9000000000000004</v>
      </c>
      <c r="E5" t="s">
        <v>1</v>
      </c>
      <c r="H5">
        <f t="shared" ref="H5:H45" si="0">FindDistance($B5:$D5, $B$48:$D$48)</f>
        <v>31.092764431616562</v>
      </c>
      <c r="I5">
        <f>SMALL(H$4:H$45, 2)</f>
        <v>3.3526109228480419</v>
      </c>
      <c r="J5">
        <f>MATCH(I5, H$4:H$42,  0)</f>
        <v>14</v>
      </c>
      <c r="K5" t="str">
        <f>INDEX($B$4:$E$42, J5, 4)</f>
        <v>E</v>
      </c>
      <c r="L5" t="s">
        <v>2</v>
      </c>
      <c r="M5">
        <f>IF(L5 = $E$48, 1, 0)</f>
        <v>1</v>
      </c>
      <c r="O5">
        <f t="shared" ref="O5:O45" si="1">FindDistance($B5:$D5, $B$49:$D$49)</f>
        <v>10.380751417888785</v>
      </c>
      <c r="P5">
        <f>SMALL(O$4:O$45, 2)</f>
        <v>3.689173349139343</v>
      </c>
      <c r="Q5">
        <f>MATCH(P5, O$4:O$42,  0)</f>
        <v>18</v>
      </c>
      <c r="R5" t="str">
        <f>INDEX($B$4:$E$42, Q5, 4)</f>
        <v>T</v>
      </c>
      <c r="S5" t="s">
        <v>3</v>
      </c>
      <c r="T5">
        <f>IF(S5 = $E$49, 1, 0)</f>
        <v>1</v>
      </c>
      <c r="V5">
        <f t="shared" ref="V5:V45" si="2">FindDistance($B5:$D5, $B$50:$D$50)</f>
        <v>44.050993178360919</v>
      </c>
      <c r="W5">
        <f>SMALL(V$4:V$45, 2)</f>
        <v>3.7802116342871601</v>
      </c>
      <c r="X5">
        <f>MATCH(W5, V$4:V$42,  0)</f>
        <v>27</v>
      </c>
      <c r="Y5" t="str">
        <f>INDEX($B$4:$E$42, X5, 4)</f>
        <v>T</v>
      </c>
      <c r="Z5" t="s">
        <v>3</v>
      </c>
      <c r="AA5">
        <f>IF(Z5 = $E$50, 1, 0)</f>
        <v>0</v>
      </c>
      <c r="AC5">
        <f t="shared" ref="AC5:AC45" si="3">FindDistance($B5:$D5, $B$51:$D$51)</f>
        <v>38.140398529643079</v>
      </c>
      <c r="AD5">
        <f>SMALL(AC$4:AC$45, 2)</f>
        <v>1.1661903789690604</v>
      </c>
      <c r="AE5">
        <f>MATCH(AD5, AC$4:AC$42,  0)</f>
        <v>22</v>
      </c>
      <c r="AF5" t="str">
        <f>INDEX($B$4:$E$42, AE5, 4)</f>
        <v>E</v>
      </c>
      <c r="AG5" t="s">
        <v>3</v>
      </c>
      <c r="AH5">
        <f>IF(AG5 = $E$51, 1, 0)</f>
        <v>1</v>
      </c>
      <c r="AJ5">
        <f t="shared" ref="AJ5:AJ45" si="4">FindDistance($B5:$D5, $B$52:$D$52)</f>
        <v>50.091516247763948</v>
      </c>
      <c r="AK5">
        <f>SMALL(AJ$4:AJ$45, 2)</f>
        <v>5.4230987451824992</v>
      </c>
      <c r="AL5">
        <f>MATCH(AK5, AJ$4:AJ$42,  0)</f>
        <v>34</v>
      </c>
      <c r="AM5" t="str">
        <f>INDEX($B$4:$E$42, AL5, 4)</f>
        <v>M</v>
      </c>
      <c r="AN5" t="s">
        <v>0</v>
      </c>
      <c r="AO5">
        <f t="shared" ref="AO5:AO9" si="5">IF(AN5 = $E$52, 1, 0)</f>
        <v>1</v>
      </c>
      <c r="AQ5">
        <f t="shared" ref="AQ5:AQ45" si="6">FindDistance($B5:$D5, $B$53:$D$53)</f>
        <v>14.618139416492101</v>
      </c>
      <c r="AR5">
        <f>SMALL(AQ$4:AQ$45, 2)</f>
        <v>3.5057096285916209</v>
      </c>
      <c r="AS5">
        <f>MATCH(AR5, AQ$4:AQ$42,  0)</f>
        <v>19</v>
      </c>
      <c r="AT5" t="str">
        <f>INDEX($B$4:$E$42, AS5, 4)</f>
        <v>E</v>
      </c>
      <c r="AU5" t="s">
        <v>0</v>
      </c>
      <c r="AV5">
        <f>IF(AU5 = $E$53, 1, 0)</f>
        <v>0</v>
      </c>
      <c r="AX5">
        <f t="shared" ref="AX5:AX45" si="7">FindDistance($B5:$D5, $B$54:$D$54)</f>
        <v>47.273777086245182</v>
      </c>
      <c r="AY5">
        <f>SMALL(AX$4:AX$45, 2)</f>
        <v>2.3685438564654024</v>
      </c>
      <c r="AZ5">
        <f>MATCH(AY5, AX$4:AX$42,  0)</f>
        <v>32</v>
      </c>
      <c r="BA5" t="str">
        <f>INDEX($B$4:$E$42, AZ5, 4)</f>
        <v>T</v>
      </c>
      <c r="BB5" t="s">
        <v>3</v>
      </c>
      <c r="BC5">
        <f t="shared" ref="BC5:BC9" si="8">IF(BB5 = $E$54, 1, 0)</f>
        <v>1</v>
      </c>
      <c r="BE5">
        <f t="shared" ref="BE5:BE45" si="9">FindDistance($B5:$D5, $B$55:$D$55)</f>
        <v>8.7114866699088722</v>
      </c>
      <c r="BF5">
        <f>SMALL(BE$4:BE$45, 2)</f>
        <v>6.1229078059366531</v>
      </c>
      <c r="BG5">
        <f>MATCH(BF5, BE$4:BE$42,  0)</f>
        <v>36</v>
      </c>
      <c r="BH5" t="str">
        <f>INDEX($B$4:$E$42, BG5, 4)</f>
        <v>T</v>
      </c>
      <c r="BI5" t="s">
        <v>1</v>
      </c>
      <c r="BJ5">
        <f t="shared" ref="BJ5:BJ9" si="10">IF(BI5 = $E$55, 1, 0)</f>
        <v>1</v>
      </c>
      <c r="BL5">
        <f t="shared" ref="BL5:BL45" si="11">FindDistance($B5:$D5, $B$58:$D$58)</f>
        <v>2.2383029285599392</v>
      </c>
      <c r="BM5">
        <f>SMALL(BL$4:BL$45, 2)</f>
        <v>2.2383029285599392</v>
      </c>
      <c r="BN5">
        <f>MATCH(BM5, BL$4:BL$42,  0)</f>
        <v>2</v>
      </c>
      <c r="BO5" t="str">
        <f>INDEX($B$4:$E$42, BN5, 4)</f>
        <v>E</v>
      </c>
      <c r="BQ5">
        <f>IF(BP5 = $E$48, 1, 0)</f>
        <v>0</v>
      </c>
      <c r="BS5">
        <f t="shared" ref="BS5:BS45" si="12">FindDistance($B5:$D5, $B$59:$D$59)</f>
        <v>31.553288259704409</v>
      </c>
      <c r="BT5">
        <f>SMALL(BS$4:BS$45, 2)</f>
        <v>3</v>
      </c>
      <c r="BU5">
        <f>MATCH(BT5, BS$4:BS$42,  0)</f>
        <v>20</v>
      </c>
      <c r="BV5" t="str">
        <f>INDEX($B$4:$E$42, BU5, 4)</f>
        <v>E</v>
      </c>
      <c r="BX5">
        <f>IF(BW5 = $E$48, 1, 0)</f>
        <v>0</v>
      </c>
      <c r="BZ5">
        <f t="shared" ref="BZ5:BZ45" si="13">FindDistance($B5:$D5, $B$60:$D$60)</f>
        <v>69.389048127208085</v>
      </c>
      <c r="CA5">
        <f>SMALL(BZ$4:BZ$45, 2)</f>
        <v>14.709180806557516</v>
      </c>
      <c r="CB5">
        <f>MATCH(CA5, BZ$4:BZ$42,  0)</f>
        <v>35</v>
      </c>
      <c r="CC5" t="str">
        <f>INDEX($B$4:$E$42, CB5, 4)</f>
        <v>M</v>
      </c>
      <c r="CE5">
        <f>IF(CD5 = $E$48, 1, 0)</f>
        <v>0</v>
      </c>
    </row>
    <row r="6" spans="1:83" x14ac:dyDescent="0.35">
      <c r="A6">
        <v>3</v>
      </c>
      <c r="B6">
        <v>2008</v>
      </c>
      <c r="C6">
        <v>81</v>
      </c>
      <c r="D6">
        <v>7.9</v>
      </c>
      <c r="E6" t="s">
        <v>0</v>
      </c>
      <c r="H6">
        <f t="shared" si="0"/>
        <v>25.007198963498492</v>
      </c>
      <c r="I6">
        <f>SMALL(H$4:H$45, 3)</f>
        <v>3.3526109228480419</v>
      </c>
      <c r="J6">
        <f>MATCH(I6, H$4:H$42,  0)</f>
        <v>14</v>
      </c>
      <c r="K6" t="str">
        <f>INDEX($B$4:$E$42, J6, 4)</f>
        <v>E</v>
      </c>
      <c r="L6" t="s">
        <v>1</v>
      </c>
      <c r="M6">
        <f>IF(L6 = $E$48, 1, 0)</f>
        <v>0</v>
      </c>
      <c r="O6">
        <f t="shared" si="1"/>
        <v>4.1424630354415957</v>
      </c>
      <c r="P6">
        <f>SMALL(O$4:O$45, 3)</f>
        <v>4.1424630354415957</v>
      </c>
      <c r="Q6">
        <f>MATCH(P6, O$4:O$42,  0)</f>
        <v>3</v>
      </c>
      <c r="R6" t="str">
        <f>INDEX($B$4:$E$42, Q6, 4)</f>
        <v>T</v>
      </c>
      <c r="S6" t="s">
        <v>0</v>
      </c>
      <c r="T6">
        <f>IF(S6 = $E$49, 1, 0)</f>
        <v>0</v>
      </c>
      <c r="V6">
        <f t="shared" si="2"/>
        <v>38.122040868767769</v>
      </c>
      <c r="W6">
        <f>SMALL(V$4:V$45, 3)</f>
        <v>4.6054315758677822</v>
      </c>
      <c r="X6">
        <f>MATCH(W6, V$4:V$42,  0)</f>
        <v>26</v>
      </c>
      <c r="Y6" t="str">
        <f>INDEX($B$4:$E$42, X6, 4)</f>
        <v>E10+</v>
      </c>
      <c r="Z6" t="s">
        <v>3</v>
      </c>
      <c r="AA6">
        <f>IF(Z6 = $E$50, 1, 0)</f>
        <v>0</v>
      </c>
      <c r="AC6">
        <f t="shared" si="3"/>
        <v>32.185245066645059</v>
      </c>
      <c r="AD6">
        <f>SMALL(AC$4:AC$45, 3)</f>
        <v>1.5362291495737215</v>
      </c>
      <c r="AE6">
        <f>MATCH(AD6, AC$4:AC$42,  0)</f>
        <v>25</v>
      </c>
      <c r="AF6" t="str">
        <f>INDEX($B$4:$E$42, AE6, 4)</f>
        <v>M</v>
      </c>
      <c r="AG6" t="s">
        <v>3</v>
      </c>
      <c r="AH6">
        <f>IF(AG6 = $E$51, 1, 0)</f>
        <v>1</v>
      </c>
      <c r="AJ6">
        <f t="shared" si="4"/>
        <v>44.233019340759455</v>
      </c>
      <c r="AK6">
        <f>SMALL(AJ$4:AJ$45, 3)</f>
        <v>5.6780278266313564</v>
      </c>
      <c r="AL6">
        <f>MATCH(AK6, AJ$4:AJ$42,  0)</f>
        <v>28</v>
      </c>
      <c r="AM6" t="str">
        <f>INDEX($B$4:$E$42, AL6, 4)</f>
        <v>M</v>
      </c>
      <c r="AN6" t="s">
        <v>3</v>
      </c>
      <c r="AO6">
        <f t="shared" si="5"/>
        <v>0</v>
      </c>
      <c r="AQ6">
        <f t="shared" si="6"/>
        <v>9.1043945432961113</v>
      </c>
      <c r="AR6">
        <f>SMALL(AQ$4:AQ$45, 3)</f>
        <v>4.0360872141221131</v>
      </c>
      <c r="AS6">
        <f>MATCH(AR6, AQ$4:AQ$42,  0)</f>
        <v>23</v>
      </c>
      <c r="AT6" t="str">
        <f>INDEX($B$4:$E$42, AS6, 4)</f>
        <v>T</v>
      </c>
      <c r="AU6" t="s">
        <v>0</v>
      </c>
      <c r="AV6">
        <f>IF(AU6 = $E$53, 1, 0)</f>
        <v>0</v>
      </c>
      <c r="AX6">
        <f t="shared" si="7"/>
        <v>41.357103380193351</v>
      </c>
      <c r="AY6">
        <f>SMALL(AX$4:AX$45, 3)</f>
        <v>3.0675723300355937</v>
      </c>
      <c r="AZ6">
        <f>MATCH(AY6, AX$4:AX$42,  0)</f>
        <v>33</v>
      </c>
      <c r="BA6" t="str">
        <f>INDEX($B$4:$E$42, AZ6, 4)</f>
        <v>T</v>
      </c>
      <c r="BB6" t="s">
        <v>0</v>
      </c>
      <c r="BC6">
        <f t="shared" si="8"/>
        <v>0</v>
      </c>
      <c r="BE6">
        <f t="shared" si="9"/>
        <v>9.4387499172295062</v>
      </c>
      <c r="BF6">
        <f>SMALL(BE$4:BE$45, 3)</f>
        <v>6.164414002968976</v>
      </c>
      <c r="BG6">
        <f>MATCH(BF6, BE$4:BE$42,  0)</f>
        <v>30</v>
      </c>
      <c r="BH6" t="str">
        <f>INDEX($B$4:$E$42, BG6, 4)</f>
        <v>M</v>
      </c>
      <c r="BI6" t="s">
        <v>1</v>
      </c>
      <c r="BJ6">
        <f t="shared" si="10"/>
        <v>1</v>
      </c>
      <c r="BL6">
        <f t="shared" si="11"/>
        <v>5.0408332644514244</v>
      </c>
      <c r="BM6">
        <f>SMALL(BL$4:BL$45, 3)</f>
        <v>2.5079872407968904</v>
      </c>
      <c r="BN6">
        <f>MATCH(BM6, BL$4:BL$42,  0)</f>
        <v>5</v>
      </c>
      <c r="BO6" t="str">
        <f>INDEX($B$4:$E$42, BN6, 4)</f>
        <v>T</v>
      </c>
      <c r="BQ6">
        <f>IF(BP6 = $E$48, 1, 0)</f>
        <v>0</v>
      </c>
      <c r="BS6">
        <f t="shared" si="12"/>
        <v>25.495293683344777</v>
      </c>
      <c r="BT6">
        <f>SMALL(BS$4:BS$45, 3)</f>
        <v>4.3874821936960613</v>
      </c>
      <c r="BU6">
        <f>MATCH(BT6, BS$4:BS$42,  0)</f>
        <v>14</v>
      </c>
      <c r="BV6" t="str">
        <f>INDEX($B$4:$E$42, BU6, 4)</f>
        <v>E</v>
      </c>
      <c r="BX6">
        <f>IF(BW6 = $E$48, 1, 0)</f>
        <v>0</v>
      </c>
      <c r="BZ6">
        <f t="shared" si="13"/>
        <v>63.600628927707938</v>
      </c>
      <c r="CA6">
        <f>SMALL(BZ$4:BZ$45, 3)</f>
        <v>15.530936868070773</v>
      </c>
      <c r="CB6">
        <f>MATCH(CA6, BZ$4:BZ$42,  0)</f>
        <v>34</v>
      </c>
      <c r="CC6" t="str">
        <f>INDEX($B$4:$E$42, CB6, 4)</f>
        <v>M</v>
      </c>
      <c r="CE6">
        <f>IF(CD6 = $E$48, 1, 0)</f>
        <v>0</v>
      </c>
    </row>
    <row r="7" spans="1:83" x14ac:dyDescent="0.35">
      <c r="A7">
        <v>4</v>
      </c>
      <c r="B7">
        <v>2008</v>
      </c>
      <c r="C7">
        <v>56</v>
      </c>
      <c r="D7">
        <v>5.7</v>
      </c>
      <c r="E7" t="s">
        <v>2</v>
      </c>
      <c r="H7">
        <f t="shared" si="0"/>
        <v>1.5999999999999996</v>
      </c>
      <c r="I7">
        <f>SMALL(H$4:H$45, 4)</f>
        <v>3.4190641994557516</v>
      </c>
      <c r="J7">
        <f>MATCH(I7, H$4:H$42,  0)</f>
        <v>20</v>
      </c>
      <c r="K7" t="str">
        <f>INDEX($B$4:$E$42, J7, 4)</f>
        <v>E</v>
      </c>
      <c r="L7" t="s">
        <v>1</v>
      </c>
      <c r="M7">
        <f>IF(L7 = $E$48, 1, 0)</f>
        <v>0</v>
      </c>
      <c r="O7">
        <f t="shared" si="1"/>
        <v>21.100710888498519</v>
      </c>
      <c r="P7">
        <f>SMALL(O$4:O$45, 4)</f>
        <v>4.8989794855663558</v>
      </c>
      <c r="Q7">
        <f>MATCH(P7, O$4:O$42,  0)</f>
        <v>19</v>
      </c>
      <c r="R7" t="str">
        <f>INDEX($B$4:$E$42, Q7, 4)</f>
        <v>E</v>
      </c>
      <c r="S7" t="s">
        <v>0</v>
      </c>
      <c r="T7">
        <f>IF(S7 = $E$49, 1, 0)</f>
        <v>0</v>
      </c>
      <c r="V7">
        <f t="shared" si="2"/>
        <v>13.153326575433303</v>
      </c>
      <c r="W7">
        <f>SMALL(V$4:V$45, 4)</f>
        <v>4.9406477308142502</v>
      </c>
      <c r="X7">
        <f>MATCH(W7, V$4:V$42,  0)</f>
        <v>32</v>
      </c>
      <c r="Y7" t="str">
        <f>INDEX($B$4:$E$42, X7, 4)</f>
        <v>T</v>
      </c>
      <c r="Z7" t="s">
        <v>0</v>
      </c>
      <c r="AA7">
        <f>IF(Z7 = $E$50, 1, 0)</f>
        <v>1</v>
      </c>
      <c r="AC7">
        <f t="shared" si="3"/>
        <v>7.6321687612368736</v>
      </c>
      <c r="AD7">
        <f>SMALL(AC$4:AC$45, 4)</f>
        <v>2.2912878474779199</v>
      </c>
      <c r="AE7">
        <f>MATCH(AD7, AC$4:AC$42,  0)</f>
        <v>26</v>
      </c>
      <c r="AF7" t="str">
        <f>INDEX($B$4:$E$42, AE7, 4)</f>
        <v>E10+</v>
      </c>
      <c r="AG7" t="s">
        <v>3</v>
      </c>
      <c r="AH7">
        <f>IF(AG7 = $E$51, 1, 0)</f>
        <v>1</v>
      </c>
      <c r="AJ7">
        <f t="shared" si="4"/>
        <v>19.272778730634563</v>
      </c>
      <c r="AK7">
        <f>SMALL(AJ$4:AJ$45, 4)</f>
        <v>5.9363288318623324</v>
      </c>
      <c r="AL7">
        <f>MATCH(AK7, AJ$4:AJ$42,  0)</f>
        <v>32</v>
      </c>
      <c r="AM7" t="str">
        <f>INDEX($B$4:$E$42, AL7, 4)</f>
        <v>T</v>
      </c>
      <c r="AN7" t="s">
        <v>3</v>
      </c>
      <c r="AO7">
        <f t="shared" si="5"/>
        <v>0</v>
      </c>
      <c r="AQ7">
        <f t="shared" si="6"/>
        <v>17.471405209656147</v>
      </c>
      <c r="AR7">
        <f>SMALL(AQ$4:AQ$45, 4)</f>
        <v>4.4988887516807967</v>
      </c>
      <c r="AS7">
        <f>MATCH(AR7, AQ$4:AQ$42,  0)</f>
        <v>18</v>
      </c>
      <c r="AT7" t="str">
        <f>INDEX($B$4:$E$42, AS7, 4)</f>
        <v>T</v>
      </c>
      <c r="AU7" t="s">
        <v>0</v>
      </c>
      <c r="AV7">
        <f>IF(AU7 = $E$53, 1, 0)</f>
        <v>0</v>
      </c>
      <c r="AX7">
        <f t="shared" si="7"/>
        <v>16.7633528865797</v>
      </c>
      <c r="AY7">
        <f>SMALL(AX$4:AX$45, 4)</f>
        <v>3.6619666847201113</v>
      </c>
      <c r="AZ7">
        <f>MATCH(AY7, AX$4:AX$42,  0)</f>
        <v>27</v>
      </c>
      <c r="BA7" t="str">
        <f>INDEX($B$4:$E$42, AZ7, 4)</f>
        <v>T</v>
      </c>
      <c r="BB7" t="s">
        <v>0</v>
      </c>
      <c r="BC7">
        <f t="shared" si="8"/>
        <v>0</v>
      </c>
      <c r="BE7">
        <f t="shared" si="9"/>
        <v>31.148836254345042</v>
      </c>
      <c r="BF7">
        <f>SMALL(BE$4:BE$45, 4)</f>
        <v>6.1846584384264904</v>
      </c>
      <c r="BG7">
        <f>MATCH(BF7, BE$4:BE$42,  0)</f>
        <v>39</v>
      </c>
      <c r="BH7" t="str">
        <f>INDEX($B$4:$E$42, BG7, 4)</f>
        <v>E</v>
      </c>
      <c r="BI7" t="s">
        <v>1</v>
      </c>
      <c r="BJ7">
        <f t="shared" si="10"/>
        <v>1</v>
      </c>
      <c r="BL7">
        <f t="shared" si="11"/>
        <v>29.025678286648187</v>
      </c>
      <c r="BM7">
        <f>SMALL(BL$4:BL$45, 4)</f>
        <v>3.9446165846632044</v>
      </c>
      <c r="BN7">
        <f>MATCH(BM7, BL$4:BL$42,  0)</f>
        <v>6</v>
      </c>
      <c r="BO7" t="str">
        <f>INDEX($B$4:$E$42, BN7, 4)</f>
        <v>T</v>
      </c>
      <c r="BQ7">
        <f>IF(BP7 = $E$48, 1, 0)</f>
        <v>0</v>
      </c>
      <c r="BS7">
        <f t="shared" si="12"/>
        <v>5.5036351623268054</v>
      </c>
      <c r="BT7">
        <f>SMALL(BS$4:BS$45, 4)</f>
        <v>4.3874821936960613</v>
      </c>
      <c r="BU7">
        <f>MATCH(BT7, BS$4:BS$42,  0)</f>
        <v>14</v>
      </c>
      <c r="BV7" t="str">
        <f>INDEX($B$4:$E$42, BU7, 4)</f>
        <v>E</v>
      </c>
      <c r="BX7">
        <f>IF(BW7 = $E$48, 1, 0)</f>
        <v>0</v>
      </c>
      <c r="BZ7">
        <f t="shared" si="13"/>
        <v>38.7556447501522</v>
      </c>
      <c r="CA7">
        <f>SMALL(BZ$4:BZ$45, 4)</f>
        <v>20.689127579480001</v>
      </c>
      <c r="CB7">
        <f>MATCH(CA7, BZ$4:BZ$42,  0)</f>
        <v>33</v>
      </c>
      <c r="CC7" t="str">
        <f>INDEX($B$4:$E$42, CB7, 4)</f>
        <v>T</v>
      </c>
      <c r="CE7">
        <f>IF(CD7 = $E$48, 1, 0)</f>
        <v>0</v>
      </c>
    </row>
    <row r="8" spans="1:83" x14ac:dyDescent="0.35">
      <c r="A8">
        <v>5</v>
      </c>
      <c r="B8">
        <v>2009</v>
      </c>
      <c r="C8">
        <v>84</v>
      </c>
      <c r="D8">
        <v>7.3</v>
      </c>
      <c r="E8" t="s">
        <v>0</v>
      </c>
      <c r="H8">
        <f t="shared" si="0"/>
        <v>28.0178514522438</v>
      </c>
      <c r="I8">
        <f>SMALL(H$4:H$45, 5)</f>
        <v>4.0199502484483558</v>
      </c>
      <c r="J8">
        <f>MATCH(I8, H$4:H$42,  0)</f>
        <v>24</v>
      </c>
      <c r="K8" t="str">
        <f>INDEX($B$4:$E$42, J8, 4)</f>
        <v>M</v>
      </c>
      <c r="L8" t="s">
        <v>1</v>
      </c>
      <c r="M8">
        <f>IF(L8 = $E$48, 1, 0)</f>
        <v>0</v>
      </c>
      <c r="O8">
        <f t="shared" si="1"/>
        <v>7.0028565600046386</v>
      </c>
      <c r="P8">
        <f>SMALL(O$4:O$45, 5)</f>
        <v>5.008991914547277</v>
      </c>
      <c r="Q8">
        <f>MATCH(P8, O$4:O$42,  0)</f>
        <v>31</v>
      </c>
      <c r="R8" t="str">
        <f>INDEX($B$4:$E$42, Q8, 4)</f>
        <v>T</v>
      </c>
      <c r="S8" t="s">
        <v>0</v>
      </c>
      <c r="T8">
        <f>IF(S8 = $E$49, 1, 0)</f>
        <v>0</v>
      </c>
      <c r="V8">
        <f t="shared" si="2"/>
        <v>41.047411611452432</v>
      </c>
      <c r="W8">
        <f>SMALL(V$4:V$45, 5)</f>
        <v>5.0990195135927845</v>
      </c>
      <c r="X8">
        <f>MATCH(W8, V$4:V$42,  0)</f>
        <v>22</v>
      </c>
      <c r="Y8" t="str">
        <f>INDEX($B$4:$E$42, X8, 4)</f>
        <v>E</v>
      </c>
      <c r="Z8" t="s">
        <v>0</v>
      </c>
      <c r="AA8">
        <f>IF(Z8 = $E$50, 1, 0)</f>
        <v>1</v>
      </c>
      <c r="AC8">
        <f t="shared" si="3"/>
        <v>35.074349601952704</v>
      </c>
      <c r="AD8">
        <f>SMALL(AC$4:AC$45, 5)</f>
        <v>5.1468436929831087</v>
      </c>
      <c r="AE8">
        <f>MATCH(AD8, AC$4:AC$42,  0)</f>
        <v>15</v>
      </c>
      <c r="AF8" t="str">
        <f>INDEX($B$4:$E$42, AE8, 4)</f>
        <v>T</v>
      </c>
      <c r="AG8" t="s">
        <v>3</v>
      </c>
      <c r="AH8">
        <f>IF(AG8 = $E$51, 1, 0)</f>
        <v>1</v>
      </c>
      <c r="AJ8">
        <f t="shared" si="4"/>
        <v>47.125789118061462</v>
      </c>
      <c r="AK8">
        <f>SMALL(AJ$4:AJ$45, 5)</f>
        <v>6.3843558798049473</v>
      </c>
      <c r="AL8">
        <f>MATCH(AK8, AJ$4:AJ$42,  0)</f>
        <v>35</v>
      </c>
      <c r="AM8" t="str">
        <f>INDEX($B$4:$E$42, AL8, 4)</f>
        <v>M</v>
      </c>
      <c r="AN8" t="s">
        <v>3</v>
      </c>
      <c r="AO8">
        <f t="shared" si="5"/>
        <v>0</v>
      </c>
      <c r="AQ8">
        <f t="shared" si="6"/>
        <v>11.454693361238441</v>
      </c>
      <c r="AR8">
        <f>SMALL(AQ$4:AQ$45, 5)</f>
        <v>4.8207883172775805</v>
      </c>
      <c r="AS8">
        <f>MATCH(AR8, AQ$4:AQ$42,  0)</f>
        <v>9</v>
      </c>
      <c r="AT8" t="str">
        <f>INDEX($B$4:$E$42, AS8, 4)</f>
        <v>E10+</v>
      </c>
      <c r="AU8" t="s">
        <v>0</v>
      </c>
      <c r="AV8">
        <f>IF(AU8 = $E$53, 1, 0)</f>
        <v>0</v>
      </c>
      <c r="AX8">
        <f t="shared" si="7"/>
        <v>44.206899913927465</v>
      </c>
      <c r="AY8">
        <f>SMALL(AX$4:AX$45, 5)</f>
        <v>7.1161787498628781</v>
      </c>
      <c r="AZ8">
        <f>MATCH(AY8, AX$4:AX$42,  0)</f>
        <v>34</v>
      </c>
      <c r="BA8" t="str">
        <f>INDEX($B$4:$E$42, AZ8, 4)</f>
        <v>M</v>
      </c>
      <c r="BB8" t="s">
        <v>0</v>
      </c>
      <c r="BC8">
        <f t="shared" si="8"/>
        <v>0</v>
      </c>
      <c r="BE8">
        <f t="shared" si="9"/>
        <v>7.335529974037323</v>
      </c>
      <c r="BF8">
        <f>SMALL(BE$4:BE$45, 5)</f>
        <v>7.335529974037323</v>
      </c>
      <c r="BG8">
        <f>MATCH(BF8, BE$4:BE$42,  0)</f>
        <v>5</v>
      </c>
      <c r="BH8" t="str">
        <f>INDEX($B$4:$E$42, BG8, 4)</f>
        <v>T</v>
      </c>
      <c r="BI8" t="s">
        <v>1</v>
      </c>
      <c r="BJ8">
        <f t="shared" si="10"/>
        <v>1</v>
      </c>
      <c r="BL8">
        <f t="shared" si="11"/>
        <v>2.5079872407968904</v>
      </c>
      <c r="BM8">
        <f>SMALL(BL$4:BL$45, 5)</f>
        <v>4.6054315758677822</v>
      </c>
      <c r="BN8">
        <f>MATCH(BM8, BL$4:BL$42,  0)</f>
        <v>16</v>
      </c>
      <c r="BO8" t="str">
        <f>INDEX($B$4:$E$42, BN8, 4)</f>
        <v>E</v>
      </c>
      <c r="BQ8">
        <f>IF(BP8 = $E$48, 1, 0)</f>
        <v>0</v>
      </c>
      <c r="BS8">
        <f t="shared" si="12"/>
        <v>28.292931979559842</v>
      </c>
      <c r="BT8">
        <f>SMALL(BS$4:BS$45, 5)</f>
        <v>5.0803543183522155</v>
      </c>
      <c r="BU8" t="e">
        <f>MATCH(BT8, BS$4:BS$42,  0)</f>
        <v>#N/A</v>
      </c>
      <c r="BV8" t="e">
        <f>INDEX($B$4:$E$42, BU8, 4)</f>
        <v>#N/A</v>
      </c>
      <c r="BX8">
        <f>IF(BW8 = $E$48, 1, 0)</f>
        <v>0</v>
      </c>
      <c r="BZ8">
        <f t="shared" si="13"/>
        <v>66.431618977712716</v>
      </c>
      <c r="CA8">
        <f>SMALL(BZ$4:BZ$45, 5)</f>
        <v>23.558437978779494</v>
      </c>
      <c r="CB8">
        <f>MATCH(CA8, BZ$4:BZ$42,  0)</f>
        <v>32</v>
      </c>
      <c r="CC8" t="str">
        <f>INDEX($B$4:$E$42, CB8, 4)</f>
        <v>T</v>
      </c>
      <c r="CE8">
        <f>IF(CD8 = $E$48, 1, 0)</f>
        <v>0</v>
      </c>
    </row>
    <row r="9" spans="1:83" x14ac:dyDescent="0.35">
      <c r="A9">
        <v>6</v>
      </c>
      <c r="B9">
        <v>2009</v>
      </c>
      <c r="C9">
        <v>83</v>
      </c>
      <c r="D9">
        <v>8.4</v>
      </c>
      <c r="E9" t="s">
        <v>0</v>
      </c>
      <c r="H9">
        <f t="shared" si="0"/>
        <v>27.040894955603818</v>
      </c>
      <c r="I9">
        <f>SMALL(H$4:H$45, 6)</f>
        <v>7.2284161474004804</v>
      </c>
      <c r="J9">
        <f>MATCH(I9, H$4:H$42,  0)</f>
        <v>25</v>
      </c>
      <c r="K9" t="str">
        <f>INDEX($B$4:$E$42, J9, 4)</f>
        <v>M</v>
      </c>
      <c r="L9" t="s">
        <v>1</v>
      </c>
      <c r="M9">
        <f>IF(L9 = $E$48, 1, 0)</f>
        <v>0</v>
      </c>
      <c r="O9">
        <f t="shared" si="1"/>
        <v>6.0671245248470056</v>
      </c>
      <c r="P9">
        <f>SMALL(O$4:O$45, 6)</f>
        <v>5.7410800377629299</v>
      </c>
      <c r="Q9">
        <f>MATCH(P9, O$4:O$42,  0)</f>
        <v>16</v>
      </c>
      <c r="R9" t="str">
        <f>INDEX($B$4:$E$42, Q9, 4)</f>
        <v>E</v>
      </c>
      <c r="S9" t="s">
        <v>0</v>
      </c>
      <c r="T9">
        <f>IF(S9 = $E$49, 1, 0)</f>
        <v>0</v>
      </c>
      <c r="V9">
        <f t="shared" si="2"/>
        <v>40.110347792059841</v>
      </c>
      <c r="W9">
        <f>SMALL(V$4:V$45, 6)</f>
        <v>6.1489836558572835</v>
      </c>
      <c r="X9">
        <f>MATCH(W9, V$4:V$42,  0)</f>
        <v>21</v>
      </c>
      <c r="Y9" t="str">
        <f>INDEX($B$4:$E$42, X9, 4)</f>
        <v>M</v>
      </c>
      <c r="Z9" t="s">
        <v>0</v>
      </c>
      <c r="AA9">
        <f>IF(Z9 = $E$50, 1, 0)</f>
        <v>1</v>
      </c>
      <c r="AC9">
        <f t="shared" si="3"/>
        <v>34.129752416330241</v>
      </c>
      <c r="AD9">
        <f>SMALL(AC$4:AC$45, 6)</f>
        <v>6.0033324079214534</v>
      </c>
      <c r="AE9">
        <f>MATCH(AD9, AC$4:AC$42,  0)</f>
        <v>20</v>
      </c>
      <c r="AF9" t="str">
        <f>INDEX($B$4:$E$42, AE9, 4)</f>
        <v>E</v>
      </c>
      <c r="AG9" t="s">
        <v>3</v>
      </c>
      <c r="AH9">
        <f>IF(AG9 = $E$51, 1, 0)</f>
        <v>1</v>
      </c>
      <c r="AJ9">
        <f t="shared" si="4"/>
        <v>46.208332581905616</v>
      </c>
      <c r="AK9">
        <f>SMALL(AJ$4:AJ$45, 6)</f>
        <v>7.1805292284064972</v>
      </c>
      <c r="AL9">
        <f>MATCH(AK9, AJ$4:AJ$42,  0)</f>
        <v>27</v>
      </c>
      <c r="AM9" t="str">
        <f>INDEX($B$4:$E$42, AL9, 4)</f>
        <v>T</v>
      </c>
      <c r="AN9" t="s">
        <v>3</v>
      </c>
      <c r="AO9">
        <f t="shared" si="5"/>
        <v>0</v>
      </c>
      <c r="AQ9">
        <f t="shared" si="6"/>
        <v>10.669582934679312</v>
      </c>
      <c r="AR9">
        <f>SMALL(AQ$4:AQ$45, 6)</f>
        <v>5.123475382979799</v>
      </c>
      <c r="AS9">
        <v>40</v>
      </c>
      <c r="AT9" t="s">
        <v>1</v>
      </c>
      <c r="AU9" t="s">
        <v>0</v>
      </c>
      <c r="AV9">
        <f>IF(AU9 = $E$53, 1, 0)</f>
        <v>0</v>
      </c>
      <c r="AX9">
        <f t="shared" si="7"/>
        <v>43.263841715686787</v>
      </c>
      <c r="AY9">
        <f>SMALL(AX$4:AX$45, 6)</f>
        <v>7.1281133548786952</v>
      </c>
      <c r="AZ9">
        <f>MATCH(AY9, AX$4:AX$42,  0)</f>
        <v>26</v>
      </c>
      <c r="BA9" t="str">
        <f>INDEX($B$4:$E$42, AZ9, 4)</f>
        <v>E10+</v>
      </c>
      <c r="BB9" t="s">
        <v>0</v>
      </c>
      <c r="BC9">
        <f t="shared" si="8"/>
        <v>0</v>
      </c>
      <c r="BE9">
        <f t="shared" si="9"/>
        <v>7.6183987818963637</v>
      </c>
      <c r="BF9">
        <f>SMALL(BE$4:BE$45, 6)</f>
        <v>7.6183987818963637</v>
      </c>
      <c r="BG9">
        <f>MATCH(BF9, BE$4:BE$42,  0)</f>
        <v>6</v>
      </c>
      <c r="BH9" t="str">
        <f>INDEX($B$4:$E$42, BG9, 4)</f>
        <v>T</v>
      </c>
      <c r="BI9" t="s">
        <v>0</v>
      </c>
      <c r="BJ9">
        <f t="shared" si="10"/>
        <v>0</v>
      </c>
      <c r="BL9">
        <f t="shared" si="11"/>
        <v>3.9446165846632044</v>
      </c>
      <c r="BM9">
        <f>SMALL(BL$4:BL$45, 6)</f>
        <v>5.0408332644514244</v>
      </c>
      <c r="BN9">
        <f>MATCH(BM9, BL$4:BL$42,  0)</f>
        <v>3</v>
      </c>
      <c r="BO9" t="str">
        <f>INDEX($B$4:$E$42, BN9, 4)</f>
        <v>T</v>
      </c>
      <c r="BQ9">
        <f>IF(BP9 = $E$48, 1, 0)</f>
        <v>0</v>
      </c>
      <c r="BS9">
        <f t="shared" si="12"/>
        <v>27.297618943783355</v>
      </c>
      <c r="BT9">
        <f>SMALL(BS$4:BS$45, 6)</f>
        <v>5.5036351623268054</v>
      </c>
      <c r="BU9">
        <f>MATCH(BT9, BS$4:BS$42,  0)</f>
        <v>4</v>
      </c>
      <c r="BV9" t="str">
        <f>INDEX($B$4:$E$42, BU9, 4)</f>
        <v>E10+</v>
      </c>
      <c r="BX9">
        <f>IF(BW9 = $E$48, 1, 0)</f>
        <v>0</v>
      </c>
      <c r="BZ9">
        <f t="shared" si="13"/>
        <v>65.524728156628015</v>
      </c>
      <c r="CA9">
        <f>SMALL(BZ$4:BZ$45, 6)</f>
        <v>24.350770008359078</v>
      </c>
      <c r="CB9">
        <f>MATCH(CA9, BZ$4:BZ$42,  0)</f>
        <v>28</v>
      </c>
      <c r="CC9" t="str">
        <f>INDEX($B$4:$E$42, CB9, 4)</f>
        <v>M</v>
      </c>
      <c r="CE9">
        <f>IF(CD9 = $E$48, 1, 0)</f>
        <v>0</v>
      </c>
    </row>
    <row r="10" spans="1:83" x14ac:dyDescent="0.35">
      <c r="A10">
        <v>7</v>
      </c>
      <c r="B10">
        <v>2009</v>
      </c>
      <c r="C10">
        <v>79</v>
      </c>
      <c r="D10">
        <v>8.1</v>
      </c>
      <c r="E10" t="s">
        <v>3</v>
      </c>
      <c r="H10">
        <f t="shared" si="0"/>
        <v>23.035624584542958</v>
      </c>
      <c r="O10">
        <f t="shared" si="1"/>
        <v>2.0880613017821097</v>
      </c>
      <c r="V10">
        <f t="shared" si="2"/>
        <v>36.100554012369393</v>
      </c>
      <c r="AC10">
        <f t="shared" si="3"/>
        <v>30.126566349320328</v>
      </c>
      <c r="AJ10">
        <f t="shared" si="4"/>
        <v>42.201421776997037</v>
      </c>
      <c r="AQ10">
        <f t="shared" si="6"/>
        <v>6.9720872054213432</v>
      </c>
      <c r="AX10">
        <f t="shared" si="7"/>
        <v>39.272000203707478</v>
      </c>
      <c r="BE10">
        <f t="shared" si="9"/>
        <v>9.9</v>
      </c>
      <c r="BL10">
        <f t="shared" si="11"/>
        <v>6.7535176019612182</v>
      </c>
      <c r="BS10">
        <f t="shared" si="12"/>
        <v>23.345449235343491</v>
      </c>
      <c r="BZ10">
        <f t="shared" si="13"/>
        <v>61.531780406550887</v>
      </c>
    </row>
    <row r="11" spans="1:83" x14ac:dyDescent="0.35">
      <c r="A11">
        <v>8</v>
      </c>
      <c r="B11">
        <v>2009</v>
      </c>
      <c r="C11">
        <v>73</v>
      </c>
      <c r="D11">
        <v>1.8</v>
      </c>
      <c r="E11" t="s">
        <v>0</v>
      </c>
      <c r="H11">
        <f t="shared" si="0"/>
        <v>17.895530168173281</v>
      </c>
      <c r="O11">
        <f t="shared" si="1"/>
        <v>6.9634761434214738</v>
      </c>
      <c r="V11">
        <f t="shared" si="2"/>
        <v>30.256239026025693</v>
      </c>
      <c r="AC11">
        <f t="shared" si="3"/>
        <v>24.481829996958968</v>
      </c>
      <c r="AJ11">
        <f t="shared" si="4"/>
        <v>36.156465535226197</v>
      </c>
      <c r="AQ11">
        <f t="shared" si="6"/>
        <v>5.3254107822777392</v>
      </c>
      <c r="AX11">
        <f t="shared" si="7"/>
        <v>33.481338085566414</v>
      </c>
      <c r="BE11">
        <f t="shared" si="9"/>
        <v>16.09223415191315</v>
      </c>
      <c r="BL11">
        <f t="shared" si="11"/>
        <v>12.41933975700802</v>
      </c>
      <c r="BS11">
        <f t="shared" si="12"/>
        <v>18.532134253776601</v>
      </c>
      <c r="BZ11">
        <f t="shared" si="13"/>
        <v>55.333624497225912</v>
      </c>
    </row>
    <row r="12" spans="1:83" x14ac:dyDescent="0.35">
      <c r="A12">
        <v>9</v>
      </c>
      <c r="B12">
        <v>2009</v>
      </c>
      <c r="C12">
        <v>71</v>
      </c>
      <c r="D12">
        <v>3</v>
      </c>
      <c r="E12" t="s">
        <v>2</v>
      </c>
      <c r="H12">
        <f t="shared" si="0"/>
        <v>15.636176003102548</v>
      </c>
      <c r="O12">
        <f t="shared" si="1"/>
        <v>7.5</v>
      </c>
      <c r="V12">
        <f t="shared" si="2"/>
        <v>28.138230221533124</v>
      </c>
      <c r="AC12">
        <f t="shared" si="3"/>
        <v>22.321290285285929</v>
      </c>
      <c r="AJ12">
        <f t="shared" si="4"/>
        <v>34.091787867461569</v>
      </c>
      <c r="AQ12">
        <f t="shared" si="6"/>
        <v>4.8207883172775805</v>
      </c>
      <c r="AX12">
        <f t="shared" si="7"/>
        <v>31.38216053747734</v>
      </c>
      <c r="BE12">
        <f t="shared" si="9"/>
        <v>17.35050431543706</v>
      </c>
      <c r="BL12">
        <f t="shared" si="11"/>
        <v>14.142135623730951</v>
      </c>
      <c r="BS12">
        <f t="shared" si="12"/>
        <v>16.30950643030009</v>
      </c>
      <c r="BZ12">
        <f t="shared" si="13"/>
        <v>53.33938507332082</v>
      </c>
    </row>
    <row r="13" spans="1:83" x14ac:dyDescent="0.35">
      <c r="A13">
        <v>10</v>
      </c>
      <c r="B13">
        <v>2009</v>
      </c>
      <c r="C13">
        <v>67</v>
      </c>
      <c r="D13">
        <v>9.3000000000000007</v>
      </c>
      <c r="E13" t="s">
        <v>1</v>
      </c>
      <c r="H13">
        <f t="shared" si="0"/>
        <v>11.224972160321824</v>
      </c>
      <c r="O13">
        <f t="shared" si="1"/>
        <v>10.160708636704431</v>
      </c>
      <c r="V13">
        <f t="shared" si="2"/>
        <v>24.304114877937852</v>
      </c>
      <c r="AC13">
        <f t="shared" si="3"/>
        <v>18.374166647769364</v>
      </c>
      <c r="AJ13">
        <f t="shared" si="4"/>
        <v>30.447331574376104</v>
      </c>
      <c r="AQ13">
        <f t="shared" si="6"/>
        <v>7.3898579147369272</v>
      </c>
      <c r="AX13">
        <f t="shared" si="7"/>
        <v>27.518175811634027</v>
      </c>
      <c r="BE13">
        <f t="shared" si="9"/>
        <v>20.278313539345426</v>
      </c>
      <c r="BL13">
        <f t="shared" si="11"/>
        <v>18.506485349736185</v>
      </c>
      <c r="BS13">
        <f t="shared" si="12"/>
        <v>11.776671855834312</v>
      </c>
      <c r="BZ13">
        <f t="shared" si="13"/>
        <v>49.80522060989189</v>
      </c>
    </row>
    <row r="14" spans="1:83" x14ac:dyDescent="0.35">
      <c r="A14">
        <v>11</v>
      </c>
      <c r="B14">
        <v>2009</v>
      </c>
      <c r="C14">
        <v>63</v>
      </c>
      <c r="D14">
        <v>2.4</v>
      </c>
      <c r="E14" t="s">
        <v>2</v>
      </c>
      <c r="H14">
        <f t="shared" si="0"/>
        <v>8.6029064856012472</v>
      </c>
      <c r="O14">
        <f t="shared" si="1"/>
        <v>14.9</v>
      </c>
      <c r="V14">
        <f t="shared" si="2"/>
        <v>20.279053232338043</v>
      </c>
      <c r="AC14">
        <f t="shared" si="3"/>
        <v>14.643770006388381</v>
      </c>
      <c r="AJ14">
        <f t="shared" si="4"/>
        <v>26.161230857893518</v>
      </c>
      <c r="AQ14">
        <f t="shared" si="6"/>
        <v>11.11035552986492</v>
      </c>
      <c r="AX14">
        <f t="shared" si="7"/>
        <v>23.591523901604997</v>
      </c>
      <c r="BE14">
        <f t="shared" si="9"/>
        <v>24.731356614629938</v>
      </c>
      <c r="BL14">
        <f t="shared" si="11"/>
        <v>22.153103620034823</v>
      </c>
      <c r="BS14">
        <f t="shared" si="12"/>
        <v>9.8163129534464204</v>
      </c>
      <c r="BZ14">
        <f t="shared" si="13"/>
        <v>45.399229068344326</v>
      </c>
    </row>
    <row r="15" spans="1:83" x14ac:dyDescent="0.35">
      <c r="A15">
        <v>12</v>
      </c>
      <c r="B15">
        <v>2010</v>
      </c>
      <c r="C15">
        <v>67</v>
      </c>
      <c r="D15">
        <v>6.6</v>
      </c>
      <c r="E15" t="s">
        <v>3</v>
      </c>
      <c r="H15">
        <f t="shared" si="0"/>
        <v>11.202231920470135</v>
      </c>
      <c r="O15">
        <f t="shared" si="1"/>
        <v>10.090094152187085</v>
      </c>
      <c r="V15">
        <f t="shared" si="2"/>
        <v>24.020824298928627</v>
      </c>
      <c r="AC15">
        <f t="shared" si="3"/>
        <v>18.032193432857802</v>
      </c>
      <c r="AJ15">
        <f t="shared" si="4"/>
        <v>30.090031571934251</v>
      </c>
      <c r="AQ15">
        <f t="shared" si="6"/>
        <v>6.3371918071019433</v>
      </c>
      <c r="AX15">
        <f t="shared" si="7"/>
        <v>27.177932224508911</v>
      </c>
      <c r="BE15">
        <f t="shared" si="9"/>
        <v>19.988996973335105</v>
      </c>
      <c r="BL15">
        <f t="shared" si="11"/>
        <v>18.098618731825919</v>
      </c>
      <c r="BS15">
        <f t="shared" si="12"/>
        <v>11.487384384619503</v>
      </c>
      <c r="BZ15">
        <f t="shared" si="13"/>
        <v>49.408602489849883</v>
      </c>
    </row>
    <row r="16" spans="1:83" x14ac:dyDescent="0.35">
      <c r="A16">
        <v>13</v>
      </c>
      <c r="B16">
        <v>2010</v>
      </c>
      <c r="C16">
        <v>63</v>
      </c>
      <c r="D16">
        <v>4.2</v>
      </c>
      <c r="E16" t="s">
        <v>0</v>
      </c>
      <c r="H16">
        <f t="shared" si="0"/>
        <v>7.9126481028793387</v>
      </c>
      <c r="O16">
        <f t="shared" si="1"/>
        <v>14.4183910336764</v>
      </c>
      <c r="V16">
        <f t="shared" si="2"/>
        <v>20.048940121612414</v>
      </c>
      <c r="AC16">
        <f t="shared" si="3"/>
        <v>14.177446878757825</v>
      </c>
      <c r="AJ16">
        <f t="shared" si="4"/>
        <v>26.020953095534377</v>
      </c>
      <c r="AQ16">
        <f t="shared" si="6"/>
        <v>10.392304845413264</v>
      </c>
      <c r="AX16">
        <f t="shared" si="7"/>
        <v>23.249946236496978</v>
      </c>
      <c r="BE16">
        <f t="shared" si="9"/>
        <v>24.103941586387901</v>
      </c>
      <c r="BL16">
        <f t="shared" si="11"/>
        <v>22.03724120664835</v>
      </c>
      <c r="BS16">
        <f t="shared" si="12"/>
        <v>8.5111691323812853</v>
      </c>
      <c r="BZ16">
        <f t="shared" si="13"/>
        <v>45.301765969992829</v>
      </c>
    </row>
    <row r="17" spans="1:78" x14ac:dyDescent="0.35">
      <c r="A17">
        <v>14</v>
      </c>
      <c r="B17">
        <v>2010</v>
      </c>
      <c r="C17">
        <v>58</v>
      </c>
      <c r="D17">
        <v>5.5</v>
      </c>
      <c r="E17" t="s">
        <v>1</v>
      </c>
      <c r="H17">
        <f t="shared" si="0"/>
        <v>3.3526109228480419</v>
      </c>
      <c r="O17">
        <f t="shared" si="1"/>
        <v>19.131126469708992</v>
      </c>
      <c r="V17">
        <f t="shared" si="2"/>
        <v>15.000333329629711</v>
      </c>
      <c r="AC17">
        <f t="shared" si="3"/>
        <v>9.0824005637276315</v>
      </c>
      <c r="AJ17">
        <f t="shared" si="4"/>
        <v>21.047565179849187</v>
      </c>
      <c r="AQ17">
        <f t="shared" si="6"/>
        <v>15.148927354766739</v>
      </c>
      <c r="AX17">
        <f t="shared" si="7"/>
        <v>18.250753409106157</v>
      </c>
      <c r="BE17">
        <f t="shared" si="9"/>
        <v>28.762649391180918</v>
      </c>
      <c r="BL17">
        <f t="shared" si="11"/>
        <v>27.023138233743321</v>
      </c>
      <c r="BS17">
        <f t="shared" si="12"/>
        <v>4.3874821936960613</v>
      </c>
      <c r="BZ17">
        <f t="shared" si="13"/>
        <v>40.408414965202482</v>
      </c>
    </row>
    <row r="18" spans="1:78" x14ac:dyDescent="0.35">
      <c r="A18">
        <v>15</v>
      </c>
      <c r="B18">
        <v>2010</v>
      </c>
      <c r="C18">
        <v>54</v>
      </c>
      <c r="D18">
        <v>5.5</v>
      </c>
      <c r="E18" t="s">
        <v>0</v>
      </c>
      <c r="H18">
        <f t="shared" si="0"/>
        <v>3.3526109228480419</v>
      </c>
      <c r="O18">
        <f t="shared" si="1"/>
        <v>23.108440016582687</v>
      </c>
      <c r="V18">
        <f t="shared" si="2"/>
        <v>11.000454536063499</v>
      </c>
      <c r="AC18">
        <f t="shared" si="3"/>
        <v>5.1468436929831087</v>
      </c>
      <c r="AJ18">
        <f t="shared" si="4"/>
        <v>17.058722109231979</v>
      </c>
      <c r="AQ18">
        <f t="shared" si="6"/>
        <v>19.117792759625782</v>
      </c>
      <c r="AX18">
        <f t="shared" si="7"/>
        <v>14.320963654726592</v>
      </c>
      <c r="BE18">
        <f t="shared" si="9"/>
        <v>32.669404647161848</v>
      </c>
      <c r="BL18">
        <f t="shared" si="11"/>
        <v>31.020154738492199</v>
      </c>
      <c r="BS18">
        <f t="shared" si="12"/>
        <v>4.3874821936960613</v>
      </c>
      <c r="BZ18">
        <f t="shared" si="13"/>
        <v>36.453257741935765</v>
      </c>
    </row>
    <row r="19" spans="1:78" x14ac:dyDescent="0.35">
      <c r="A19">
        <v>16</v>
      </c>
      <c r="B19">
        <v>2011</v>
      </c>
      <c r="C19">
        <v>81</v>
      </c>
      <c r="D19">
        <v>3.9</v>
      </c>
      <c r="E19" t="s">
        <v>1</v>
      </c>
      <c r="H19">
        <f t="shared" si="0"/>
        <v>25.40787279565135</v>
      </c>
      <c r="O19">
        <f t="shared" si="1"/>
        <v>5.7410800377629299</v>
      </c>
      <c r="V19">
        <f t="shared" si="2"/>
        <v>38.051149785518966</v>
      </c>
      <c r="AC19">
        <f t="shared" si="3"/>
        <v>32.082549773981491</v>
      </c>
      <c r="AJ19">
        <f t="shared" si="4"/>
        <v>44.004090718932027</v>
      </c>
      <c r="AQ19">
        <f t="shared" si="6"/>
        <v>8.383913167489272</v>
      </c>
      <c r="AX19">
        <f t="shared" si="7"/>
        <v>41.092700081644672</v>
      </c>
      <c r="BE19">
        <f t="shared" si="9"/>
        <v>8.2758685344802334</v>
      </c>
      <c r="BL19">
        <f t="shared" si="11"/>
        <v>4.6054315758677822</v>
      </c>
      <c r="BS19">
        <f t="shared" si="12"/>
        <v>25.41279205439654</v>
      </c>
      <c r="BZ19">
        <f t="shared" si="13"/>
        <v>63.138260983337197</v>
      </c>
    </row>
    <row r="20" spans="1:78" x14ac:dyDescent="0.35">
      <c r="A20">
        <v>17</v>
      </c>
      <c r="B20">
        <v>2011</v>
      </c>
      <c r="C20">
        <v>81</v>
      </c>
      <c r="D20">
        <v>2.2000000000000002</v>
      </c>
      <c r="E20" t="s">
        <v>0</v>
      </c>
      <c r="H20">
        <f t="shared" si="0"/>
        <v>25.690659781329089</v>
      </c>
      <c r="O20">
        <f t="shared" si="1"/>
        <v>6.9346953790343235</v>
      </c>
      <c r="V20">
        <f t="shared" si="2"/>
        <v>38.164905345094205</v>
      </c>
      <c r="AC20">
        <f t="shared" si="3"/>
        <v>32.249030993194197</v>
      </c>
      <c r="AJ20">
        <f t="shared" si="4"/>
        <v>44.060072628174368</v>
      </c>
      <c r="AQ20">
        <f t="shared" si="6"/>
        <v>9</v>
      </c>
      <c r="AX20">
        <f t="shared" si="7"/>
        <v>41.206310196376478</v>
      </c>
      <c r="BE20">
        <f t="shared" si="9"/>
        <v>9.2736184954957022</v>
      </c>
      <c r="BL20">
        <f t="shared" si="11"/>
        <v>5.2763623833091673</v>
      </c>
      <c r="BS20">
        <f t="shared" si="12"/>
        <v>25.741794809220277</v>
      </c>
      <c r="BZ20">
        <f t="shared" si="13"/>
        <v>63.128836517078312</v>
      </c>
    </row>
    <row r="21" spans="1:78" x14ac:dyDescent="0.35">
      <c r="A21">
        <v>18</v>
      </c>
      <c r="B21">
        <v>2011</v>
      </c>
      <c r="C21">
        <v>77</v>
      </c>
      <c r="D21">
        <v>4.4000000000000004</v>
      </c>
      <c r="E21" t="s">
        <v>0</v>
      </c>
      <c r="H21">
        <f t="shared" si="0"/>
        <v>21.410511437142272</v>
      </c>
      <c r="O21">
        <f t="shared" si="1"/>
        <v>3.689173349139343</v>
      </c>
      <c r="V21">
        <f t="shared" si="2"/>
        <v>34.035863438437993</v>
      </c>
      <c r="AC21">
        <f t="shared" si="3"/>
        <v>28.057797490180871</v>
      </c>
      <c r="AJ21">
        <f t="shared" si="4"/>
        <v>40.00012499980469</v>
      </c>
      <c r="AQ21">
        <f t="shared" si="6"/>
        <v>4.4988887516807967</v>
      </c>
      <c r="AX21">
        <f t="shared" si="7"/>
        <v>37.080453071665673</v>
      </c>
      <c r="BE21">
        <f t="shared" si="9"/>
        <v>10.974515934655159</v>
      </c>
      <c r="BL21">
        <f t="shared" si="11"/>
        <v>8.2680106434377549</v>
      </c>
      <c r="BS21">
        <f t="shared" si="12"/>
        <v>21.4</v>
      </c>
      <c r="BZ21">
        <f t="shared" si="13"/>
        <v>59.159868154011299</v>
      </c>
    </row>
    <row r="22" spans="1:78" x14ac:dyDescent="0.35">
      <c r="A22">
        <v>19</v>
      </c>
      <c r="B22">
        <v>2011</v>
      </c>
      <c r="C22">
        <v>75</v>
      </c>
      <c r="D22">
        <v>3.5</v>
      </c>
      <c r="E22" t="s">
        <v>1</v>
      </c>
      <c r="H22">
        <f t="shared" si="0"/>
        <v>19.607141556075938</v>
      </c>
      <c r="O22">
        <f t="shared" si="1"/>
        <v>4.8989794855663558</v>
      </c>
      <c r="V22">
        <f t="shared" si="2"/>
        <v>32.084419895020702</v>
      </c>
      <c r="AC22">
        <f t="shared" si="3"/>
        <v>26.139816372729168</v>
      </c>
      <c r="AJ22">
        <f t="shared" si="4"/>
        <v>38.013155617496423</v>
      </c>
      <c r="AQ22">
        <f t="shared" si="6"/>
        <v>3.5057096285916209</v>
      </c>
      <c r="AX22">
        <f t="shared" si="7"/>
        <v>35.132463619848807</v>
      </c>
      <c r="BE22">
        <f t="shared" si="9"/>
        <v>12.964952757337761</v>
      </c>
      <c r="BL22">
        <f t="shared" si="11"/>
        <v>10.307764064044152</v>
      </c>
      <c r="BS22">
        <f t="shared" si="12"/>
        <v>19.627786426390522</v>
      </c>
      <c r="BZ22">
        <f t="shared" si="13"/>
        <v>57.145778496753373</v>
      </c>
    </row>
    <row r="23" spans="1:78" x14ac:dyDescent="0.35">
      <c r="A23">
        <v>20</v>
      </c>
      <c r="B23">
        <v>2011</v>
      </c>
      <c r="C23">
        <v>55</v>
      </c>
      <c r="D23">
        <v>6</v>
      </c>
      <c r="E23" t="s">
        <v>1</v>
      </c>
      <c r="H23">
        <f t="shared" si="0"/>
        <v>3.4190641994557516</v>
      </c>
      <c r="O23">
        <f t="shared" si="1"/>
        <v>22.14158982548453</v>
      </c>
      <c r="V23">
        <f t="shared" si="2"/>
        <v>12.048236385463227</v>
      </c>
      <c r="AC23">
        <f t="shared" si="3"/>
        <v>6.0033324079214534</v>
      </c>
      <c r="AJ23">
        <f t="shared" si="4"/>
        <v>18.062391868188442</v>
      </c>
      <c r="AQ23">
        <f t="shared" si="6"/>
        <v>18.0288657435791</v>
      </c>
      <c r="AX23">
        <f t="shared" si="7"/>
        <v>15.134067529914091</v>
      </c>
      <c r="BE23">
        <f t="shared" si="9"/>
        <v>31.477611091059625</v>
      </c>
      <c r="BL23">
        <f t="shared" si="11"/>
        <v>30.083217912982647</v>
      </c>
      <c r="BS23">
        <f t="shared" si="12"/>
        <v>3</v>
      </c>
      <c r="BZ23">
        <f t="shared" si="13"/>
        <v>37.361611314288893</v>
      </c>
    </row>
    <row r="24" spans="1:78" x14ac:dyDescent="0.35">
      <c r="A24">
        <v>21</v>
      </c>
      <c r="B24">
        <v>2011</v>
      </c>
      <c r="C24">
        <v>49</v>
      </c>
      <c r="D24">
        <v>6.5</v>
      </c>
      <c r="E24" t="s">
        <v>3</v>
      </c>
      <c r="H24">
        <f t="shared" si="0"/>
        <v>7.657675887630659</v>
      </c>
      <c r="O24">
        <f t="shared" si="1"/>
        <v>28.089143810376278</v>
      </c>
      <c r="V24">
        <f t="shared" si="2"/>
        <v>6.1489836558572835</v>
      </c>
      <c r="AC24">
        <f t="shared" si="3"/>
        <v>0.29999999999999982</v>
      </c>
      <c r="AJ24">
        <f t="shared" si="4"/>
        <v>12.165525060596439</v>
      </c>
      <c r="AQ24">
        <f t="shared" si="6"/>
        <v>24.022697600394508</v>
      </c>
      <c r="AX24">
        <f t="shared" si="7"/>
        <v>9.2460802505710493</v>
      </c>
      <c r="BE24">
        <f t="shared" si="9"/>
        <v>37.374991638795052</v>
      </c>
      <c r="BL24">
        <f t="shared" si="11"/>
        <v>36.08670115153226</v>
      </c>
      <c r="BS24">
        <f t="shared" si="12"/>
        <v>7.433034373659253</v>
      </c>
      <c r="BZ24">
        <f t="shared" si="13"/>
        <v>31.487140232164624</v>
      </c>
    </row>
    <row r="25" spans="1:78" x14ac:dyDescent="0.35">
      <c r="A25">
        <v>22</v>
      </c>
      <c r="B25">
        <v>2011</v>
      </c>
      <c r="C25">
        <v>48</v>
      </c>
      <c r="D25">
        <v>5.6</v>
      </c>
      <c r="E25" t="s">
        <v>1</v>
      </c>
      <c r="H25">
        <f t="shared" si="0"/>
        <v>8.711486669908874</v>
      </c>
      <c r="O25">
        <f t="shared" si="1"/>
        <v>29.130911417255724</v>
      </c>
      <c r="V25">
        <f t="shared" si="2"/>
        <v>5.0990195135927845</v>
      </c>
      <c r="AC25">
        <f t="shared" si="3"/>
        <v>1.1661903789690604</v>
      </c>
      <c r="AJ25">
        <f t="shared" si="4"/>
        <v>11.054863183232978</v>
      </c>
      <c r="AQ25">
        <f t="shared" si="6"/>
        <v>25.027185219277058</v>
      </c>
      <c r="AX25">
        <f t="shared" si="7"/>
        <v>8.2486362509205122</v>
      </c>
      <c r="BE25">
        <f t="shared" si="9"/>
        <v>38.415621822378455</v>
      </c>
      <c r="BL25">
        <f t="shared" si="11"/>
        <v>37.058872082134393</v>
      </c>
      <c r="BS25">
        <f t="shared" si="12"/>
        <v>8.5883642214335563</v>
      </c>
      <c r="BZ25">
        <f t="shared" si="13"/>
        <v>30.404111564063172</v>
      </c>
    </row>
    <row r="26" spans="1:78" x14ac:dyDescent="0.35">
      <c r="A26">
        <v>23</v>
      </c>
      <c r="B26">
        <v>2012</v>
      </c>
      <c r="C26">
        <v>70</v>
      </c>
      <c r="D26">
        <v>3.5</v>
      </c>
      <c r="E26" t="s">
        <v>0</v>
      </c>
      <c r="H26">
        <f t="shared" si="0"/>
        <v>15.047923444781343</v>
      </c>
      <c r="O26">
        <f t="shared" si="1"/>
        <v>8.6023252670426267</v>
      </c>
      <c r="V26">
        <f t="shared" si="2"/>
        <v>27.155294143131648</v>
      </c>
      <c r="AC26">
        <f t="shared" si="3"/>
        <v>21.196461968923021</v>
      </c>
      <c r="AJ26">
        <f t="shared" si="4"/>
        <v>33.030289129827487</v>
      </c>
      <c r="AQ26">
        <f t="shared" si="6"/>
        <v>4.0360872141221131</v>
      </c>
      <c r="AX26">
        <f t="shared" si="7"/>
        <v>30.10465080348882</v>
      </c>
      <c r="BE26">
        <f t="shared" si="9"/>
        <v>17.149052451957804</v>
      </c>
      <c r="BL26">
        <f t="shared" si="11"/>
        <v>15.370426148939398</v>
      </c>
      <c r="BS26">
        <f t="shared" si="12"/>
        <v>14.739402972983676</v>
      </c>
      <c r="BZ26">
        <f t="shared" si="13"/>
        <v>52.092609840552235</v>
      </c>
    </row>
    <row r="27" spans="1:78" x14ac:dyDescent="0.35">
      <c r="A27">
        <v>24</v>
      </c>
      <c r="B27">
        <v>2012</v>
      </c>
      <c r="C27">
        <v>56</v>
      </c>
      <c r="D27">
        <v>6.9</v>
      </c>
      <c r="E27" t="s">
        <v>3</v>
      </c>
      <c r="H27">
        <f t="shared" si="0"/>
        <v>4.0199502484483558</v>
      </c>
      <c r="O27">
        <f t="shared" si="1"/>
        <v>21.221687020592874</v>
      </c>
      <c r="V27">
        <f t="shared" si="2"/>
        <v>13.217034463146414</v>
      </c>
      <c r="AC27">
        <f t="shared" si="3"/>
        <v>7.1056315693962064</v>
      </c>
      <c r="AJ27">
        <f t="shared" si="4"/>
        <v>19.177069640588993</v>
      </c>
      <c r="AQ27">
        <f t="shared" si="6"/>
        <v>17.014405661086137</v>
      </c>
      <c r="AX27">
        <f t="shared" si="7"/>
        <v>16.068914089010494</v>
      </c>
      <c r="BE27">
        <f t="shared" si="9"/>
        <v>30.293398620821666</v>
      </c>
      <c r="BL27">
        <f t="shared" si="11"/>
        <v>29.216604867780241</v>
      </c>
      <c r="BS27">
        <f t="shared" si="12"/>
        <v>1.4866068747318502</v>
      </c>
      <c r="BZ27">
        <f t="shared" si="13"/>
        <v>38.348924365619439</v>
      </c>
    </row>
    <row r="28" spans="1:78" x14ac:dyDescent="0.35">
      <c r="A28">
        <v>25</v>
      </c>
      <c r="B28">
        <v>2012</v>
      </c>
      <c r="C28">
        <v>50</v>
      </c>
      <c r="D28">
        <v>6.8</v>
      </c>
      <c r="E28" t="s">
        <v>3</v>
      </c>
      <c r="H28">
        <f t="shared" si="0"/>
        <v>7.2284161474004804</v>
      </c>
      <c r="O28">
        <f t="shared" si="1"/>
        <v>27.175172492552829</v>
      </c>
      <c r="V28">
        <f t="shared" si="2"/>
        <v>7.3783466982786869</v>
      </c>
      <c r="AC28">
        <f t="shared" si="3"/>
        <v>1.5362291495737215</v>
      </c>
      <c r="AJ28">
        <f t="shared" si="4"/>
        <v>13.23971298782568</v>
      </c>
      <c r="AQ28">
        <f t="shared" si="6"/>
        <v>23.007824755939012</v>
      </c>
      <c r="AX28">
        <f t="shared" si="7"/>
        <v>10.099504938362077</v>
      </c>
      <c r="BE28">
        <f t="shared" si="9"/>
        <v>36.24858617932567</v>
      </c>
      <c r="BL28">
        <f t="shared" si="11"/>
        <v>35.174422525465857</v>
      </c>
      <c r="BS28">
        <f t="shared" si="12"/>
        <v>6.2</v>
      </c>
      <c r="BZ28">
        <f t="shared" si="13"/>
        <v>32.400771595750619</v>
      </c>
    </row>
    <row r="29" spans="1:78" x14ac:dyDescent="0.35">
      <c r="A29">
        <v>26</v>
      </c>
      <c r="B29">
        <v>2012</v>
      </c>
      <c r="C29">
        <v>47</v>
      </c>
      <c r="D29">
        <v>6.7</v>
      </c>
      <c r="E29" t="s">
        <v>2</v>
      </c>
      <c r="H29">
        <f t="shared" si="0"/>
        <v>9.8671171068352077</v>
      </c>
      <c r="O29">
        <f t="shared" si="1"/>
        <v>30.160238725845655</v>
      </c>
      <c r="V29">
        <f t="shared" si="2"/>
        <v>4.6054315758677822</v>
      </c>
      <c r="AC29">
        <f t="shared" si="3"/>
        <v>2.2912878474779199</v>
      </c>
      <c r="AJ29">
        <f t="shared" si="4"/>
        <v>10.287856919689348</v>
      </c>
      <c r="AQ29">
        <f t="shared" si="6"/>
        <v>26.004807247891687</v>
      </c>
      <c r="AX29">
        <f t="shared" si="7"/>
        <v>7.1281133548786952</v>
      </c>
      <c r="BE29">
        <f t="shared" si="9"/>
        <v>39.233276692114309</v>
      </c>
      <c r="BL29">
        <f t="shared" si="11"/>
        <v>38.156126637802217</v>
      </c>
      <c r="BS29">
        <f t="shared" si="12"/>
        <v>9.1482238713315276</v>
      </c>
      <c r="BZ29">
        <f t="shared" si="13"/>
        <v>29.427877939124322</v>
      </c>
    </row>
    <row r="30" spans="1:78" x14ac:dyDescent="0.35">
      <c r="A30">
        <v>27</v>
      </c>
      <c r="B30">
        <v>2013</v>
      </c>
      <c r="C30">
        <v>43</v>
      </c>
      <c r="D30">
        <v>7.9</v>
      </c>
      <c r="E30" t="s">
        <v>0</v>
      </c>
      <c r="H30">
        <f t="shared" si="0"/>
        <v>13.941305534274759</v>
      </c>
      <c r="O30">
        <f t="shared" si="1"/>
        <v>34.236822282449054</v>
      </c>
      <c r="V30">
        <f t="shared" si="2"/>
        <v>3.7802116342871601</v>
      </c>
      <c r="AC30">
        <f t="shared" si="3"/>
        <v>6.5490457320131767</v>
      </c>
      <c r="AJ30">
        <f t="shared" si="4"/>
        <v>7.1805292284064972</v>
      </c>
      <c r="AQ30">
        <f t="shared" si="6"/>
        <v>30.064763428305902</v>
      </c>
      <c r="AX30">
        <f t="shared" si="7"/>
        <v>3.6619666847201113</v>
      </c>
      <c r="BE30">
        <f t="shared" si="9"/>
        <v>43.105568085805338</v>
      </c>
      <c r="BL30">
        <f t="shared" si="11"/>
        <v>42.289596829480416</v>
      </c>
      <c r="BS30">
        <f t="shared" si="12"/>
        <v>13.000384609695207</v>
      </c>
      <c r="BZ30">
        <f t="shared" si="13"/>
        <v>25.613277806637711</v>
      </c>
    </row>
    <row r="31" spans="1:78" x14ac:dyDescent="0.35">
      <c r="A31">
        <v>28</v>
      </c>
      <c r="B31">
        <v>2013</v>
      </c>
      <c r="C31">
        <v>42</v>
      </c>
      <c r="D31">
        <v>6.3</v>
      </c>
      <c r="E31" t="s">
        <v>3</v>
      </c>
      <c r="H31">
        <f t="shared" si="0"/>
        <v>14.89966442575134</v>
      </c>
      <c r="O31">
        <f t="shared" si="1"/>
        <v>35.248262368519676</v>
      </c>
      <c r="V31">
        <f t="shared" si="2"/>
        <v>3.2388269481403293</v>
      </c>
      <c r="AC31">
        <f t="shared" si="3"/>
        <v>7.280796659706958</v>
      </c>
      <c r="AJ31">
        <f t="shared" si="4"/>
        <v>5.6780278266313564</v>
      </c>
      <c r="AQ31">
        <f t="shared" si="6"/>
        <v>31.016286044592768</v>
      </c>
      <c r="AX31">
        <f t="shared" si="7"/>
        <v>2.0615528128088303</v>
      </c>
      <c r="BE31">
        <f t="shared" si="9"/>
        <v>44.143062875156275</v>
      </c>
      <c r="BL31">
        <f t="shared" si="11"/>
        <v>43.205208019404331</v>
      </c>
      <c r="BS31">
        <f t="shared" si="12"/>
        <v>14.102836594104039</v>
      </c>
      <c r="BZ31">
        <f t="shared" si="13"/>
        <v>24.350770008359078</v>
      </c>
    </row>
    <row r="32" spans="1:78" x14ac:dyDescent="0.35">
      <c r="A32">
        <v>29</v>
      </c>
      <c r="B32">
        <v>2013</v>
      </c>
      <c r="C32">
        <v>26</v>
      </c>
      <c r="D32">
        <v>3.4</v>
      </c>
      <c r="E32" t="s">
        <v>3</v>
      </c>
      <c r="H32">
        <f t="shared" si="0"/>
        <v>30.662843964642288</v>
      </c>
      <c r="O32">
        <f t="shared" si="1"/>
        <v>51.320658608400571</v>
      </c>
      <c r="V32">
        <f t="shared" si="2"/>
        <v>17.402298698735176</v>
      </c>
      <c r="AC32">
        <f t="shared" si="3"/>
        <v>23.255966976240742</v>
      </c>
      <c r="AJ32">
        <f t="shared" si="4"/>
        <v>11.234322409473569</v>
      </c>
      <c r="AQ32">
        <f t="shared" si="6"/>
        <v>47.09394865585174</v>
      </c>
      <c r="AX32">
        <f t="shared" si="7"/>
        <v>14.204224723651762</v>
      </c>
      <c r="BE32">
        <f t="shared" si="9"/>
        <v>60.266408554019542</v>
      </c>
      <c r="BL32">
        <f t="shared" si="11"/>
        <v>59.157079035395249</v>
      </c>
      <c r="BS32">
        <f t="shared" si="12"/>
        <v>30.350617786134105</v>
      </c>
      <c r="BZ32">
        <f t="shared" si="13"/>
        <v>8.2758685344802334</v>
      </c>
    </row>
    <row r="33" spans="1:78" x14ac:dyDescent="0.35">
      <c r="A33">
        <v>30</v>
      </c>
      <c r="B33">
        <v>2013</v>
      </c>
      <c r="C33">
        <v>81</v>
      </c>
      <c r="D33">
        <v>6.2</v>
      </c>
      <c r="E33" t="s">
        <v>3</v>
      </c>
      <c r="H33">
        <f t="shared" si="0"/>
        <v>25.518816586981458</v>
      </c>
      <c r="O33">
        <f t="shared" si="1"/>
        <v>5.8043087443725803</v>
      </c>
      <c r="V33">
        <f t="shared" si="2"/>
        <v>38.122958961759515</v>
      </c>
      <c r="AC33">
        <f t="shared" si="3"/>
        <v>32.062439083762797</v>
      </c>
      <c r="AJ33">
        <f t="shared" si="4"/>
        <v>44.078225917112412</v>
      </c>
      <c r="AQ33">
        <f t="shared" si="6"/>
        <v>8.0622577482985491</v>
      </c>
      <c r="AX33">
        <f t="shared" si="7"/>
        <v>41.001951173084436</v>
      </c>
      <c r="BE33">
        <f t="shared" si="9"/>
        <v>6.164414002968976</v>
      </c>
      <c r="BL33">
        <f t="shared" si="11"/>
        <v>5.7827329179203844</v>
      </c>
      <c r="BS33">
        <f t="shared" si="12"/>
        <v>25.064716236175506</v>
      </c>
      <c r="BZ33">
        <f t="shared" si="13"/>
        <v>63.128836517078312</v>
      </c>
    </row>
    <row r="34" spans="1:78" x14ac:dyDescent="0.35">
      <c r="A34">
        <v>31</v>
      </c>
      <c r="B34">
        <v>2013</v>
      </c>
      <c r="C34">
        <v>74</v>
      </c>
      <c r="D34">
        <v>7.2</v>
      </c>
      <c r="E34" t="s">
        <v>0</v>
      </c>
      <c r="H34">
        <f t="shared" si="0"/>
        <v>18.681809334215998</v>
      </c>
      <c r="O34">
        <f t="shared" si="1"/>
        <v>5.008991914547277</v>
      </c>
      <c r="V34">
        <f t="shared" si="2"/>
        <v>31.185894247239407</v>
      </c>
      <c r="AC34">
        <f t="shared" si="3"/>
        <v>25.099800796022265</v>
      </c>
      <c r="AJ34">
        <f t="shared" si="4"/>
        <v>37.152254305761851</v>
      </c>
      <c r="AQ34">
        <f t="shared" si="6"/>
        <v>1.7320508075688772</v>
      </c>
      <c r="AX34">
        <f t="shared" si="7"/>
        <v>34.028811322172274</v>
      </c>
      <c r="BE34">
        <f t="shared" si="9"/>
        <v>12.409673645990857</v>
      </c>
      <c r="BL34">
        <f t="shared" si="11"/>
        <v>11.909659944767524</v>
      </c>
      <c r="BS34">
        <f t="shared" si="12"/>
        <v>18.017769007288333</v>
      </c>
      <c r="BZ34">
        <f t="shared" si="13"/>
        <v>56.216100896451366</v>
      </c>
    </row>
    <row r="35" spans="1:78" x14ac:dyDescent="0.35">
      <c r="A35">
        <v>32</v>
      </c>
      <c r="B35">
        <v>2014</v>
      </c>
      <c r="C35">
        <v>41</v>
      </c>
      <c r="D35">
        <v>7.7</v>
      </c>
      <c r="E35" t="s">
        <v>0</v>
      </c>
      <c r="H35">
        <f t="shared" si="0"/>
        <v>16.16044553841261</v>
      </c>
      <c r="O35">
        <f t="shared" si="1"/>
        <v>36.346113960092076</v>
      </c>
      <c r="V35">
        <f t="shared" si="2"/>
        <v>4.9406477308142502</v>
      </c>
      <c r="AC35">
        <f t="shared" si="3"/>
        <v>8.674675786448736</v>
      </c>
      <c r="AJ35">
        <f t="shared" si="4"/>
        <v>5.9363288318623324</v>
      </c>
      <c r="AQ35">
        <f t="shared" si="6"/>
        <v>32.097507691408069</v>
      </c>
      <c r="AX35">
        <f t="shared" si="7"/>
        <v>2.3685438564654024</v>
      </c>
      <c r="BE35">
        <f t="shared" si="9"/>
        <v>45.047197471096915</v>
      </c>
      <c r="BL35">
        <f t="shared" si="11"/>
        <v>44.365414457660599</v>
      </c>
      <c r="BS35">
        <f t="shared" si="12"/>
        <v>15.036289435894748</v>
      </c>
      <c r="BZ35">
        <f t="shared" si="13"/>
        <v>23.558437978779494</v>
      </c>
    </row>
    <row r="36" spans="1:78" x14ac:dyDescent="0.35">
      <c r="A36">
        <v>33</v>
      </c>
      <c r="B36">
        <v>2014</v>
      </c>
      <c r="C36">
        <v>38</v>
      </c>
      <c r="D36">
        <v>7.9</v>
      </c>
      <c r="E36" t="s">
        <v>0</v>
      </c>
      <c r="H36">
        <f t="shared" si="0"/>
        <v>18.983150423467649</v>
      </c>
      <c r="O36">
        <f t="shared" si="1"/>
        <v>39.321241079091081</v>
      </c>
      <c r="V36">
        <f t="shared" si="2"/>
        <v>6.8036754772696213</v>
      </c>
      <c r="AC36">
        <f t="shared" si="3"/>
        <v>11.527792503337317</v>
      </c>
      <c r="AJ36">
        <f t="shared" si="4"/>
        <v>4.6432747064975599</v>
      </c>
      <c r="AQ36">
        <f t="shared" si="6"/>
        <v>35.098290556663869</v>
      </c>
      <c r="AX36">
        <f t="shared" si="7"/>
        <v>3.0675723300355937</v>
      </c>
      <c r="BE36">
        <f t="shared" si="9"/>
        <v>48.042585275981978</v>
      </c>
      <c r="BL36">
        <f t="shared" si="11"/>
        <v>47.354091692270899</v>
      </c>
      <c r="BS36">
        <f t="shared" si="12"/>
        <v>18.028033725284629</v>
      </c>
      <c r="BZ36">
        <f t="shared" si="13"/>
        <v>20.689127579480001</v>
      </c>
    </row>
    <row r="37" spans="1:78" x14ac:dyDescent="0.35">
      <c r="A37">
        <v>34</v>
      </c>
      <c r="B37">
        <v>2014</v>
      </c>
      <c r="C37">
        <v>33</v>
      </c>
      <c r="D37">
        <v>6.6</v>
      </c>
      <c r="E37" t="s">
        <v>3</v>
      </c>
      <c r="H37">
        <f t="shared" si="0"/>
        <v>23.780033641691933</v>
      </c>
      <c r="O37">
        <f t="shared" si="1"/>
        <v>44.292324391478935</v>
      </c>
      <c r="V37">
        <f t="shared" si="2"/>
        <v>10.816653826391969</v>
      </c>
      <c r="AC37">
        <f t="shared" si="3"/>
        <v>16.283734215467902</v>
      </c>
      <c r="AJ37">
        <f t="shared" si="4"/>
        <v>5.4230987451824992</v>
      </c>
      <c r="AQ37">
        <f t="shared" si="6"/>
        <v>40.051966243868726</v>
      </c>
      <c r="AX37">
        <f t="shared" si="7"/>
        <v>7.1161787498628781</v>
      </c>
      <c r="BE37">
        <f t="shared" si="9"/>
        <v>53.061850702741232</v>
      </c>
      <c r="BL37">
        <f t="shared" si="11"/>
        <v>52.264328178978822</v>
      </c>
      <c r="BS37">
        <f t="shared" si="12"/>
        <v>23.064258063072398</v>
      </c>
      <c r="BZ37">
        <f t="shared" si="13"/>
        <v>15.530936868070773</v>
      </c>
    </row>
    <row r="38" spans="1:78" x14ac:dyDescent="0.35">
      <c r="A38">
        <v>35</v>
      </c>
      <c r="B38">
        <v>2014</v>
      </c>
      <c r="C38">
        <v>32</v>
      </c>
      <c r="D38">
        <v>7.1</v>
      </c>
      <c r="E38" t="s">
        <v>3</v>
      </c>
      <c r="H38">
        <f t="shared" si="0"/>
        <v>24.739442192579848</v>
      </c>
      <c r="O38">
        <f t="shared" si="1"/>
        <v>45.278692560629437</v>
      </c>
      <c r="V38">
        <f t="shared" si="2"/>
        <v>11.800423721205947</v>
      </c>
      <c r="AC38">
        <f t="shared" si="3"/>
        <v>17.286121600868135</v>
      </c>
      <c r="AJ38">
        <f t="shared" si="4"/>
        <v>6.3843558798049473</v>
      </c>
      <c r="AQ38">
        <f t="shared" si="6"/>
        <v>41.058616635244789</v>
      </c>
      <c r="AX38">
        <f t="shared" si="7"/>
        <v>8.1663945532897202</v>
      </c>
      <c r="BE38">
        <f t="shared" si="9"/>
        <v>54.048219212107256</v>
      </c>
      <c r="BL38">
        <f t="shared" si="11"/>
        <v>53.276730380157524</v>
      </c>
      <c r="BS38">
        <f t="shared" si="12"/>
        <v>24.037678756485619</v>
      </c>
      <c r="BZ38">
        <f t="shared" si="13"/>
        <v>14.709180806557516</v>
      </c>
    </row>
    <row r="39" spans="1:78" x14ac:dyDescent="0.35">
      <c r="A39">
        <v>36</v>
      </c>
      <c r="B39">
        <v>2015</v>
      </c>
      <c r="C39">
        <v>80</v>
      </c>
      <c r="D39">
        <v>8.9</v>
      </c>
      <c r="E39" t="s">
        <v>0</v>
      </c>
      <c r="H39">
        <f t="shared" si="0"/>
        <v>25.05114767830009</v>
      </c>
      <c r="O39">
        <f t="shared" si="1"/>
        <v>6.8527366796047255</v>
      </c>
      <c r="V39">
        <f t="shared" si="2"/>
        <v>37.481862280308327</v>
      </c>
      <c r="AC39">
        <f t="shared" si="3"/>
        <v>31.373396373360663</v>
      </c>
      <c r="AJ39">
        <f t="shared" si="4"/>
        <v>43.409215611434398</v>
      </c>
      <c r="AQ39">
        <f t="shared" si="6"/>
        <v>8.0802227692063049</v>
      </c>
      <c r="AX39">
        <f t="shared" si="7"/>
        <v>40.169764749124433</v>
      </c>
      <c r="BE39">
        <f t="shared" si="9"/>
        <v>6.1229078059366531</v>
      </c>
      <c r="BL39">
        <f t="shared" si="11"/>
        <v>8.7298339044909667</v>
      </c>
      <c r="BS39">
        <f t="shared" si="12"/>
        <v>24.099999999999998</v>
      </c>
      <c r="BZ39">
        <f t="shared" si="13"/>
        <v>62.309228850949523</v>
      </c>
    </row>
    <row r="40" spans="1:78" x14ac:dyDescent="0.35">
      <c r="A40">
        <v>37</v>
      </c>
      <c r="B40">
        <v>2015</v>
      </c>
      <c r="C40">
        <v>62</v>
      </c>
      <c r="D40">
        <v>8.6</v>
      </c>
      <c r="E40" t="s">
        <v>0</v>
      </c>
      <c r="H40">
        <f t="shared" si="0"/>
        <v>9.3107464792034804</v>
      </c>
      <c r="O40">
        <f t="shared" si="1"/>
        <v>16.192899678562824</v>
      </c>
      <c r="V40">
        <f t="shared" si="2"/>
        <v>19.874606914351791</v>
      </c>
      <c r="AC40">
        <f t="shared" si="3"/>
        <v>13.811589336495636</v>
      </c>
      <c r="AJ40">
        <f t="shared" si="4"/>
        <v>25.647806923789798</v>
      </c>
      <c r="AQ40">
        <f t="shared" si="6"/>
        <v>11.651609330903607</v>
      </c>
      <c r="AX40">
        <f t="shared" si="7"/>
        <v>22.267465055546847</v>
      </c>
      <c r="BE40">
        <f t="shared" si="9"/>
        <v>24.024154511657635</v>
      </c>
      <c r="BL40">
        <f t="shared" si="11"/>
        <v>24.040798655618744</v>
      </c>
      <c r="BS40">
        <f t="shared" si="12"/>
        <v>6.3529520697074364</v>
      </c>
      <c r="BZ40">
        <f t="shared" si="13"/>
        <v>44.393805874243313</v>
      </c>
    </row>
    <row r="41" spans="1:78" x14ac:dyDescent="0.35">
      <c r="A41">
        <v>38</v>
      </c>
      <c r="B41">
        <v>2016</v>
      </c>
      <c r="C41">
        <v>81</v>
      </c>
      <c r="D41">
        <v>6.2</v>
      </c>
      <c r="E41" t="s">
        <v>1</v>
      </c>
      <c r="H41">
        <f t="shared" si="0"/>
        <v>26.271848050717711</v>
      </c>
      <c r="O41">
        <f t="shared" si="1"/>
        <v>8.1663945532897202</v>
      </c>
      <c r="V41">
        <f t="shared" si="2"/>
        <v>38.47544671605516</v>
      </c>
      <c r="AC41">
        <f t="shared" si="3"/>
        <v>32.388269481403292</v>
      </c>
      <c r="AJ41">
        <f t="shared" si="4"/>
        <v>44.31579853731624</v>
      </c>
      <c r="AQ41">
        <f t="shared" si="6"/>
        <v>8.9442719099991592</v>
      </c>
      <c r="AX41">
        <f t="shared" si="7"/>
        <v>41.111555553153181</v>
      </c>
      <c r="BE41">
        <f t="shared" si="9"/>
        <v>5.3851648071345037</v>
      </c>
      <c r="BL41">
        <f t="shared" si="11"/>
        <v>8.1510735489259325</v>
      </c>
      <c r="BS41">
        <f t="shared" si="12"/>
        <v>25.243613053602292</v>
      </c>
      <c r="BZ41">
        <f t="shared" si="13"/>
        <v>63.105071111599266</v>
      </c>
    </row>
    <row r="42" spans="1:78" x14ac:dyDescent="0.35">
      <c r="A42">
        <v>39</v>
      </c>
      <c r="B42">
        <v>2016</v>
      </c>
      <c r="C42">
        <v>80</v>
      </c>
      <c r="D42">
        <v>6.7</v>
      </c>
      <c r="E42" t="s">
        <v>1</v>
      </c>
      <c r="H42">
        <f t="shared" si="0"/>
        <v>25.305335405799308</v>
      </c>
      <c r="O42">
        <f t="shared" si="1"/>
        <v>7.657675887630659</v>
      </c>
      <c r="V42">
        <f t="shared" si="2"/>
        <v>37.499466662874021</v>
      </c>
      <c r="AC42">
        <f t="shared" si="3"/>
        <v>31.404617494884409</v>
      </c>
      <c r="AJ42">
        <f t="shared" si="4"/>
        <v>43.345588010776829</v>
      </c>
      <c r="AQ42">
        <f t="shared" si="6"/>
        <v>8.0777472107017552</v>
      </c>
      <c r="AX42">
        <f t="shared" si="7"/>
        <v>40.122437612886884</v>
      </c>
      <c r="BE42">
        <f t="shared" si="9"/>
        <v>6.1846584384264904</v>
      </c>
      <c r="BL42">
        <f t="shared" si="11"/>
        <v>8.7686943155751536</v>
      </c>
      <c r="BS42">
        <f t="shared" si="12"/>
        <v>24.221684499637924</v>
      </c>
      <c r="BZ42">
        <f t="shared" si="13"/>
        <v>62.136945531623937</v>
      </c>
    </row>
    <row r="43" spans="1:78" x14ac:dyDescent="0.35">
      <c r="A43">
        <v>40</v>
      </c>
      <c r="B43">
        <v>2016</v>
      </c>
      <c r="C43">
        <v>71</v>
      </c>
      <c r="D43">
        <v>8.6999999999999993</v>
      </c>
      <c r="E43" t="s">
        <v>1</v>
      </c>
      <c r="H43">
        <f t="shared" si="0"/>
        <v>17.057549648176316</v>
      </c>
      <c r="O43">
        <f t="shared" si="1"/>
        <v>9.2973114393355676</v>
      </c>
      <c r="V43">
        <f t="shared" si="2"/>
        <v>28.802951237677018</v>
      </c>
      <c r="AC43">
        <f t="shared" si="3"/>
        <v>22.699118925632334</v>
      </c>
      <c r="AJ43">
        <f t="shared" si="4"/>
        <v>34.621380677263581</v>
      </c>
      <c r="AQ43">
        <f t="shared" si="6"/>
        <v>5.123475382979799</v>
      </c>
      <c r="AX43">
        <f t="shared" si="7"/>
        <v>31.279546032511405</v>
      </c>
      <c r="BE43">
        <f t="shared" si="9"/>
        <v>15.008331019803634</v>
      </c>
      <c r="BL43">
        <f t="shared" si="11"/>
        <v>16.083842824399895</v>
      </c>
      <c r="BS43">
        <f t="shared" si="12"/>
        <v>15.313066316058322</v>
      </c>
      <c r="BZ43">
        <f t="shared" si="13"/>
        <v>53.347914673396559</v>
      </c>
    </row>
    <row r="44" spans="1:78" x14ac:dyDescent="0.35">
      <c r="A44">
        <v>41</v>
      </c>
      <c r="B44">
        <v>2016</v>
      </c>
      <c r="C44">
        <v>61</v>
      </c>
      <c r="D44">
        <v>8.3000000000000007</v>
      </c>
      <c r="E44" t="s">
        <v>1</v>
      </c>
      <c r="H44">
        <f t="shared" si="0"/>
        <v>9.4868329805051381</v>
      </c>
      <c r="O44">
        <f t="shared" si="1"/>
        <v>17.482562741200159</v>
      </c>
      <c r="V44">
        <f t="shared" si="2"/>
        <v>19.164811504421326</v>
      </c>
      <c r="AC44">
        <f t="shared" si="3"/>
        <v>13.168523075880605</v>
      </c>
      <c r="AJ44">
        <f t="shared" si="4"/>
        <v>24.808063205337092</v>
      </c>
      <c r="AQ44">
        <f t="shared" si="6"/>
        <v>12.822246293064254</v>
      </c>
      <c r="AX44">
        <f t="shared" si="7"/>
        <v>21.360009363293827</v>
      </c>
      <c r="BE44">
        <f t="shared" si="9"/>
        <v>25.000199999200007</v>
      </c>
      <c r="BL44">
        <f t="shared" si="11"/>
        <v>25.216859439668532</v>
      </c>
      <c r="BS44">
        <f t="shared" si="12"/>
        <v>5.8386642307979999</v>
      </c>
      <c r="BZ44">
        <f t="shared" si="13"/>
        <v>43.374646972626763</v>
      </c>
    </row>
    <row r="45" spans="1:78" ht="15" thickBot="1" x14ac:dyDescent="0.4">
      <c r="A45">
        <v>42</v>
      </c>
      <c r="B45">
        <v>2016</v>
      </c>
      <c r="C45">
        <v>60</v>
      </c>
      <c r="D45">
        <v>7.1</v>
      </c>
      <c r="E45" t="s">
        <v>0</v>
      </c>
      <c r="H45">
        <f t="shared" si="0"/>
        <v>8.9465076985380172</v>
      </c>
      <c r="O45">
        <f t="shared" si="1"/>
        <v>18.389127222356151</v>
      </c>
      <c r="V45">
        <f t="shared" si="2"/>
        <v>18.090052515125542</v>
      </c>
      <c r="AC45">
        <f t="shared" si="3"/>
        <v>12.116517651536682</v>
      </c>
      <c r="AJ45">
        <f t="shared" si="4"/>
        <v>23.680371618705649</v>
      </c>
      <c r="AQ45">
        <f t="shared" si="6"/>
        <v>13.631214179228497</v>
      </c>
      <c r="AX45">
        <f t="shared" si="7"/>
        <v>20.26548790431654</v>
      </c>
      <c r="BE45">
        <f t="shared" si="9"/>
        <v>26.023258827441271</v>
      </c>
      <c r="BL45">
        <f t="shared" si="11"/>
        <v>26.046304920276118</v>
      </c>
      <c r="BS45">
        <f t="shared" si="12"/>
        <v>5.0803543183522155</v>
      </c>
      <c r="BZ45">
        <f t="shared" si="13"/>
        <v>42.241685572429517</v>
      </c>
    </row>
    <row r="46" spans="1:78" x14ac:dyDescent="0.35">
      <c r="F46" s="20" t="s">
        <v>30</v>
      </c>
      <c r="G46" s="21"/>
      <c r="H46" s="11" t="s">
        <v>25</v>
      </c>
      <c r="I46" s="12"/>
      <c r="J46" s="12"/>
      <c r="K46" s="12"/>
      <c r="L46" s="12"/>
      <c r="M46" s="12"/>
      <c r="N46" s="12"/>
      <c r="O46" s="13"/>
      <c r="Q46" s="20" t="s">
        <v>29</v>
      </c>
      <c r="R46" s="21"/>
      <c r="S46" s="11" t="s">
        <v>27</v>
      </c>
      <c r="T46" s="12"/>
      <c r="U46" s="12"/>
      <c r="V46" s="12"/>
      <c r="W46" s="12"/>
      <c r="X46" s="12"/>
      <c r="Y46" s="12"/>
      <c r="Z46" s="13"/>
    </row>
    <row r="47" spans="1:78" ht="15" thickBot="1" x14ac:dyDescent="0.4">
      <c r="B47" s="2" t="s">
        <v>10</v>
      </c>
      <c r="C47" s="2"/>
      <c r="D47" s="2"/>
      <c r="E47" s="2"/>
      <c r="F47" s="22"/>
      <c r="G47" s="23"/>
      <c r="H47" s="14">
        <v>1</v>
      </c>
      <c r="I47" s="15">
        <v>2</v>
      </c>
      <c r="J47" s="15">
        <v>3</v>
      </c>
      <c r="K47" s="15">
        <v>4</v>
      </c>
      <c r="L47" s="15">
        <v>5</v>
      </c>
      <c r="M47" s="15">
        <v>6</v>
      </c>
      <c r="N47" s="15">
        <v>7</v>
      </c>
      <c r="O47" s="8">
        <v>8</v>
      </c>
      <c r="Q47" s="22"/>
      <c r="R47" s="23"/>
      <c r="S47" s="14">
        <v>1</v>
      </c>
      <c r="T47" s="15">
        <v>2</v>
      </c>
      <c r="U47" s="15">
        <v>3</v>
      </c>
      <c r="V47" s="15">
        <v>4</v>
      </c>
      <c r="W47" s="15">
        <v>5</v>
      </c>
      <c r="X47" s="15">
        <v>6</v>
      </c>
      <c r="Y47" s="15">
        <v>7</v>
      </c>
      <c r="Z47" s="8">
        <v>8</v>
      </c>
    </row>
    <row r="48" spans="1:78" x14ac:dyDescent="0.35">
      <c r="A48">
        <v>1</v>
      </c>
      <c r="B48">
        <v>2008</v>
      </c>
      <c r="C48">
        <v>56</v>
      </c>
      <c r="D48">
        <v>7.3</v>
      </c>
      <c r="E48" t="s">
        <v>2</v>
      </c>
      <c r="F48" s="24" t="s">
        <v>26</v>
      </c>
      <c r="G48" s="9">
        <v>1</v>
      </c>
      <c r="H48" s="5" t="str">
        <f>L4</f>
        <v>E10+</v>
      </c>
      <c r="I48" s="10" t="str">
        <f>S4</f>
        <v>M</v>
      </c>
      <c r="J48" s="10" t="str">
        <f>Z4</f>
        <v>M</v>
      </c>
      <c r="K48" s="10" t="str">
        <f>AG4</f>
        <v>M</v>
      </c>
      <c r="L48" s="10" t="str">
        <f>AN4</f>
        <v>T</v>
      </c>
      <c r="M48" s="10" t="str">
        <f>AU4</f>
        <v>T</v>
      </c>
      <c r="N48" s="10" t="str">
        <f>BB4</f>
        <v>M</v>
      </c>
      <c r="O48" s="9" t="str">
        <f>BI4</f>
        <v>E</v>
      </c>
      <c r="Q48" s="24" t="s">
        <v>26</v>
      </c>
      <c r="R48" s="9">
        <v>1</v>
      </c>
      <c r="S48" s="5">
        <f>M4</f>
        <v>1</v>
      </c>
      <c r="T48" s="10">
        <f>T4</f>
        <v>1</v>
      </c>
      <c r="U48" s="10">
        <f>AA4</f>
        <v>0</v>
      </c>
      <c r="V48" s="10">
        <f>AH4</f>
        <v>1</v>
      </c>
      <c r="W48" s="10">
        <f>AO4</f>
        <v>1</v>
      </c>
      <c r="X48" s="10">
        <f>AV4</f>
        <v>0</v>
      </c>
      <c r="Y48" s="10">
        <f>BC4</f>
        <v>1</v>
      </c>
      <c r="Z48" s="9">
        <f>BJ4</f>
        <v>1</v>
      </c>
    </row>
    <row r="49" spans="1:26" x14ac:dyDescent="0.35">
      <c r="A49">
        <v>2</v>
      </c>
      <c r="B49">
        <v>2009</v>
      </c>
      <c r="C49">
        <v>77</v>
      </c>
      <c r="D49">
        <v>7.5</v>
      </c>
      <c r="E49" t="s">
        <v>3</v>
      </c>
      <c r="F49" s="25"/>
      <c r="G49" s="7">
        <v>2</v>
      </c>
      <c r="H49" s="6" t="str">
        <f>L5</f>
        <v>E10+</v>
      </c>
      <c r="I49" s="4" t="str">
        <f>S5</f>
        <v>M</v>
      </c>
      <c r="J49" s="4" t="str">
        <f>Z5</f>
        <v>M</v>
      </c>
      <c r="K49" s="4" t="str">
        <f>AG5</f>
        <v>M</v>
      </c>
      <c r="L49" s="4" t="str">
        <f>AN5</f>
        <v>T</v>
      </c>
      <c r="M49" s="4" t="str">
        <f>AU5</f>
        <v>T</v>
      </c>
      <c r="N49" s="4" t="str">
        <f>BB5</f>
        <v>M</v>
      </c>
      <c r="O49" s="7" t="str">
        <f>BI5</f>
        <v>E</v>
      </c>
      <c r="Q49" s="25"/>
      <c r="R49" s="7">
        <v>2</v>
      </c>
      <c r="S49" s="6">
        <f>M5</f>
        <v>1</v>
      </c>
      <c r="T49" s="4">
        <f>T5</f>
        <v>1</v>
      </c>
      <c r="U49" s="4">
        <f>AA5</f>
        <v>0</v>
      </c>
      <c r="V49" s="4">
        <f>AH5</f>
        <v>1</v>
      </c>
      <c r="W49" s="4">
        <f>AO5</f>
        <v>1</v>
      </c>
      <c r="X49" s="4">
        <f>AV5</f>
        <v>0</v>
      </c>
      <c r="Y49" s="4">
        <f>BC5</f>
        <v>1</v>
      </c>
      <c r="Z49" s="7">
        <f>BJ5</f>
        <v>1</v>
      </c>
    </row>
    <row r="50" spans="1:26" x14ac:dyDescent="0.35">
      <c r="A50">
        <v>3</v>
      </c>
      <c r="B50">
        <v>2010</v>
      </c>
      <c r="C50">
        <v>43</v>
      </c>
      <c r="D50">
        <v>5.6</v>
      </c>
      <c r="E50" t="s">
        <v>0</v>
      </c>
      <c r="F50" s="25"/>
      <c r="G50" s="7">
        <v>3</v>
      </c>
      <c r="H50" s="6" t="str">
        <f>L6</f>
        <v>E</v>
      </c>
      <c r="I50" s="4" t="str">
        <f>S6</f>
        <v>T</v>
      </c>
      <c r="J50" s="4" t="str">
        <f>Z6</f>
        <v>M</v>
      </c>
      <c r="K50" s="4" t="str">
        <f>AG6</f>
        <v>M</v>
      </c>
      <c r="L50" s="4" t="str">
        <f>AN6</f>
        <v>M</v>
      </c>
      <c r="M50" s="4" t="str">
        <f>AU6</f>
        <v>T</v>
      </c>
      <c r="N50" s="4" t="str">
        <f>BB6</f>
        <v>T</v>
      </c>
      <c r="O50" s="7" t="str">
        <f>BI6</f>
        <v>E</v>
      </c>
      <c r="Q50" s="25"/>
      <c r="R50" s="7">
        <v>3</v>
      </c>
      <c r="S50" s="6">
        <f>M6</f>
        <v>0</v>
      </c>
      <c r="T50" s="4">
        <f>T6</f>
        <v>0</v>
      </c>
      <c r="U50" s="4">
        <f>AA6</f>
        <v>0</v>
      </c>
      <c r="V50" s="4">
        <f>AH6</f>
        <v>1</v>
      </c>
      <c r="W50" s="4">
        <f>AO6</f>
        <v>0</v>
      </c>
      <c r="X50" s="4">
        <f>AV6</f>
        <v>0</v>
      </c>
      <c r="Y50" s="4">
        <f>BC6</f>
        <v>0</v>
      </c>
      <c r="Z50" s="7">
        <f>BJ6</f>
        <v>1</v>
      </c>
    </row>
    <row r="51" spans="1:26" x14ac:dyDescent="0.35">
      <c r="A51">
        <v>4</v>
      </c>
      <c r="B51">
        <v>2011</v>
      </c>
      <c r="C51">
        <v>49</v>
      </c>
      <c r="D51">
        <v>6.2</v>
      </c>
      <c r="E51" t="s">
        <v>3</v>
      </c>
      <c r="F51" s="25"/>
      <c r="G51" s="7">
        <v>4</v>
      </c>
      <c r="H51" s="6" t="str">
        <f>L7</f>
        <v>E</v>
      </c>
      <c r="I51" s="4" t="str">
        <f>S7</f>
        <v>T</v>
      </c>
      <c r="J51" s="4" t="str">
        <f>Z7</f>
        <v>T</v>
      </c>
      <c r="K51" s="4" t="str">
        <f>AG7</f>
        <v>M</v>
      </c>
      <c r="L51" s="4" t="str">
        <f>AN7</f>
        <v>M</v>
      </c>
      <c r="M51" s="4" t="str">
        <f>AU7</f>
        <v>T</v>
      </c>
      <c r="N51" s="4" t="str">
        <f>BB7</f>
        <v>T</v>
      </c>
      <c r="O51" s="7" t="str">
        <f>BI7</f>
        <v>E</v>
      </c>
      <c r="Q51" s="25"/>
      <c r="R51" s="7">
        <v>4</v>
      </c>
      <c r="S51" s="6">
        <f>M7</f>
        <v>0</v>
      </c>
      <c r="T51" s="4">
        <f>T7</f>
        <v>0</v>
      </c>
      <c r="U51" s="4">
        <f>AA7</f>
        <v>1</v>
      </c>
      <c r="V51" s="4">
        <f>AH7</f>
        <v>1</v>
      </c>
      <c r="W51" s="4">
        <f>AO7</f>
        <v>0</v>
      </c>
      <c r="X51" s="4">
        <f>AV7</f>
        <v>0</v>
      </c>
      <c r="Y51" s="4">
        <f>BC7</f>
        <v>0</v>
      </c>
      <c r="Z51" s="7">
        <f>BJ7</f>
        <v>1</v>
      </c>
    </row>
    <row r="52" spans="1:26" x14ac:dyDescent="0.35">
      <c r="A52">
        <v>5</v>
      </c>
      <c r="B52">
        <v>2011</v>
      </c>
      <c r="C52">
        <v>37</v>
      </c>
      <c r="D52">
        <v>4.5</v>
      </c>
      <c r="E52" t="s">
        <v>0</v>
      </c>
      <c r="F52" s="25"/>
      <c r="G52" s="7">
        <v>5</v>
      </c>
      <c r="H52" s="6" t="str">
        <f>L8</f>
        <v>E</v>
      </c>
      <c r="I52" s="4" t="str">
        <f>S8</f>
        <v>T</v>
      </c>
      <c r="J52" s="4" t="str">
        <f>Z8</f>
        <v>T</v>
      </c>
      <c r="K52" s="4" t="str">
        <f>AG8</f>
        <v>M</v>
      </c>
      <c r="L52" s="4" t="str">
        <f>AN8</f>
        <v>M</v>
      </c>
      <c r="M52" s="4" t="str">
        <f>AU8</f>
        <v>T</v>
      </c>
      <c r="N52" s="4" t="str">
        <f>BB8</f>
        <v>T</v>
      </c>
      <c r="O52" s="7" t="str">
        <f>BI8</f>
        <v>E</v>
      </c>
      <c r="Q52" s="25"/>
      <c r="R52" s="7">
        <v>5</v>
      </c>
      <c r="S52" s="6">
        <f>M8</f>
        <v>0</v>
      </c>
      <c r="T52" s="4">
        <f>T8</f>
        <v>0</v>
      </c>
      <c r="U52" s="4">
        <f>AA8</f>
        <v>1</v>
      </c>
      <c r="V52" s="4">
        <f>AH8</f>
        <v>1</v>
      </c>
      <c r="W52" s="4">
        <f>AO8</f>
        <v>0</v>
      </c>
      <c r="X52" s="4">
        <f>AV8</f>
        <v>0</v>
      </c>
      <c r="Y52" s="4">
        <f>BC8</f>
        <v>0</v>
      </c>
      <c r="Z52" s="7">
        <f>BJ8</f>
        <v>1</v>
      </c>
    </row>
    <row r="53" spans="1:26" ht="15" thickBot="1" x14ac:dyDescent="0.4">
      <c r="A53">
        <v>6</v>
      </c>
      <c r="B53">
        <v>2012</v>
      </c>
      <c r="C53">
        <v>73</v>
      </c>
      <c r="D53">
        <v>6.2</v>
      </c>
      <c r="E53" t="s">
        <v>2</v>
      </c>
      <c r="F53" s="26"/>
      <c r="G53" s="8">
        <v>6</v>
      </c>
      <c r="H53" s="14" t="str">
        <f>L9</f>
        <v>E</v>
      </c>
      <c r="I53" s="15" t="str">
        <f>S9</f>
        <v>T</v>
      </c>
      <c r="J53" s="15" t="str">
        <f>Z9</f>
        <v>T</v>
      </c>
      <c r="K53" s="15" t="str">
        <f>AG9</f>
        <v>M</v>
      </c>
      <c r="L53" s="15" t="str">
        <f>AN9</f>
        <v>M</v>
      </c>
      <c r="M53" s="15" t="str">
        <f>AU9</f>
        <v>T</v>
      </c>
      <c r="N53" s="15" t="str">
        <f>BB9</f>
        <v>T</v>
      </c>
      <c r="O53" s="8" t="str">
        <f>BI9</f>
        <v>T</v>
      </c>
      <c r="Q53" s="26"/>
      <c r="R53" s="8">
        <v>6</v>
      </c>
      <c r="S53" s="14">
        <f>M9</f>
        <v>0</v>
      </c>
      <c r="T53" s="15">
        <f>T9</f>
        <v>0</v>
      </c>
      <c r="U53" s="15">
        <f>AA9</f>
        <v>1</v>
      </c>
      <c r="V53" s="15">
        <f>AH9</f>
        <v>1</v>
      </c>
      <c r="W53" s="15">
        <f>AO9</f>
        <v>0</v>
      </c>
      <c r="X53" s="15">
        <f>AV9</f>
        <v>0</v>
      </c>
      <c r="Y53" s="15">
        <f>BC9</f>
        <v>0</v>
      </c>
      <c r="Z53" s="8">
        <f>BJ9</f>
        <v>0</v>
      </c>
    </row>
    <row r="54" spans="1:26" ht="15" thickBot="1" x14ac:dyDescent="0.4">
      <c r="A54">
        <v>7</v>
      </c>
      <c r="B54">
        <v>2013</v>
      </c>
      <c r="C54">
        <v>40</v>
      </c>
      <c r="D54">
        <v>5.8</v>
      </c>
      <c r="E54" t="s">
        <v>3</v>
      </c>
    </row>
    <row r="55" spans="1:26" ht="26.5" thickBot="1" x14ac:dyDescent="0.65">
      <c r="A55">
        <v>8</v>
      </c>
      <c r="B55">
        <v>2016</v>
      </c>
      <c r="C55">
        <v>86</v>
      </c>
      <c r="D55">
        <v>8.1999999999999993</v>
      </c>
      <c r="E55" t="s">
        <v>1</v>
      </c>
      <c r="Q55" s="27" t="s">
        <v>31</v>
      </c>
      <c r="R55" s="28"/>
      <c r="S55" s="16" t="s">
        <v>28</v>
      </c>
    </row>
    <row r="56" spans="1:26" x14ac:dyDescent="0.35">
      <c r="Q56" s="24" t="s">
        <v>26</v>
      </c>
      <c r="R56" s="9">
        <v>1</v>
      </c>
      <c r="S56" s="17">
        <v>6</v>
      </c>
    </row>
    <row r="57" spans="1:26" x14ac:dyDescent="0.35">
      <c r="B57" s="2" t="s">
        <v>12</v>
      </c>
      <c r="C57" s="2"/>
      <c r="D57" s="2"/>
      <c r="E57" s="2"/>
      <c r="F57" s="1"/>
      <c r="Q57" s="25"/>
      <c r="R57" s="7">
        <v>2</v>
      </c>
      <c r="S57" s="18">
        <v>6</v>
      </c>
    </row>
    <row r="58" spans="1:26" x14ac:dyDescent="0.35">
      <c r="A58">
        <v>1</v>
      </c>
      <c r="B58">
        <v>2009</v>
      </c>
      <c r="C58">
        <v>85</v>
      </c>
      <c r="D58">
        <v>5</v>
      </c>
      <c r="Q58" s="25"/>
      <c r="R58" s="7">
        <v>3</v>
      </c>
      <c r="S58" s="18">
        <v>2</v>
      </c>
    </row>
    <row r="59" spans="1:26" x14ac:dyDescent="0.35">
      <c r="A59">
        <v>2</v>
      </c>
      <c r="B59">
        <v>2013</v>
      </c>
      <c r="C59">
        <v>56</v>
      </c>
      <c r="D59">
        <v>8</v>
      </c>
      <c r="Q59" s="25"/>
      <c r="R59" s="7">
        <v>4</v>
      </c>
      <c r="S59" s="18">
        <v>3</v>
      </c>
    </row>
    <row r="60" spans="1:26" x14ac:dyDescent="0.35">
      <c r="A60">
        <v>3</v>
      </c>
      <c r="B60">
        <v>2015</v>
      </c>
      <c r="C60">
        <v>18</v>
      </c>
      <c r="D60">
        <v>2.7</v>
      </c>
      <c r="Q60" s="25"/>
      <c r="R60" s="7">
        <v>5</v>
      </c>
      <c r="S60" s="18">
        <v>3</v>
      </c>
    </row>
    <row r="61" spans="1:26" ht="15" thickBot="1" x14ac:dyDescent="0.4">
      <c r="Q61" s="26"/>
      <c r="R61" s="8">
        <v>6</v>
      </c>
      <c r="S61" s="19">
        <v>2</v>
      </c>
    </row>
  </sheetData>
  <mergeCells count="22">
    <mergeCell ref="BL2:BQ2"/>
    <mergeCell ref="BS2:BX2"/>
    <mergeCell ref="BZ2:CE2"/>
    <mergeCell ref="F46:G47"/>
    <mergeCell ref="Q46:R47"/>
    <mergeCell ref="Q55:R55"/>
    <mergeCell ref="F48:F53"/>
    <mergeCell ref="H46:O46"/>
    <mergeCell ref="S46:Z46"/>
    <mergeCell ref="Q48:Q53"/>
    <mergeCell ref="Q56:Q61"/>
    <mergeCell ref="V2:AA2"/>
    <mergeCell ref="AC2:AH2"/>
    <mergeCell ref="AJ2:AO2"/>
    <mergeCell ref="AQ2:AV2"/>
    <mergeCell ref="AX2:BC2"/>
    <mergeCell ref="BE2:BJ2"/>
    <mergeCell ref="B2:E2"/>
    <mergeCell ref="B47:E47"/>
    <mergeCell ref="B57:E57"/>
    <mergeCell ref="H2:M2"/>
    <mergeCell ref="O2:T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HW3 videogame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Brigitta</dc:creator>
  <cp:lastModifiedBy>Underdisc</cp:lastModifiedBy>
  <dcterms:created xsi:type="dcterms:W3CDTF">2017-10-07T02:30:19Z</dcterms:created>
  <dcterms:modified xsi:type="dcterms:W3CDTF">2018-10-15T03:48:11Z</dcterms:modified>
</cp:coreProperties>
</file>